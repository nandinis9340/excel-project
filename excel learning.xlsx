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ndi\OneDrive\Desktop\financial career\project\"/>
    </mc:Choice>
  </mc:AlternateContent>
  <xr:revisionPtr revIDLastSave="0" documentId="8_{E4CE1621-A19C-4C01-B6D4-F5677791BC8B}" xr6:coauthVersionLast="47" xr6:coauthVersionMax="47" xr10:uidLastSave="{00000000-0000-0000-0000-000000000000}"/>
  <bookViews>
    <workbookView xWindow="-108" yWindow="-108" windowWidth="23256" windowHeight="12456" firstSheet="19" activeTab="22" xr2:uid="{DEEFB8B1-FE15-4198-A211-0E9C319720D8}"/>
  </bookViews>
  <sheets>
    <sheet name="1- Basics " sheetId="1" r:id="rId1"/>
    <sheet name="2- Formulas" sheetId="2" r:id="rId2"/>
    <sheet name="3- Cell References" sheetId="3" r:id="rId3"/>
    <sheet name="4 -CountAndIF " sheetId="4" r:id="rId4"/>
    <sheet name="5- SortAndFilter" sheetId="5" r:id="rId5"/>
    <sheet name="6- Logical" sheetId="6" r:id="rId6"/>
    <sheet name="7- text function" sheetId="7" r:id="rId7"/>
    <sheet name="8- Dates" sheetId="8" r:id="rId8"/>
    <sheet name="9- C0NDITIONAL FORMULAS" sheetId="9" r:id="rId9"/>
    <sheet name="10- Formatting Valuation" sheetId="10" r:id="rId10"/>
    <sheet name="11- Freeze Split" sheetId="11" r:id="rId11"/>
    <sheet name="12- Basic VLOOKUP" sheetId="12" r:id="rId12"/>
    <sheet name="13a- pricelist(sourcedata)" sheetId="13" r:id="rId13"/>
    <sheet name="14- IFERROR- Wrapper " sheetId="15" r:id="rId14"/>
    <sheet name="15- TwoWayLookup" sheetId="16" r:id="rId15"/>
    <sheet name="16- MultipleCriteria" sheetId="17" r:id="rId16"/>
    <sheet name="17-DyanamicColumnPick" sheetId="18" r:id="rId17"/>
    <sheet name="18-wildcardSearch" sheetId="19" r:id="rId18"/>
    <sheet name="19-CannotLookLeft" sheetId="20" r:id="rId19"/>
    <sheet name="20-BreaksOnColumnlnsert" sheetId="21" r:id="rId20"/>
    <sheet name="21-exactvs approxmatch" sheetId="22" r:id="rId21"/>
    <sheet name="22-duplicatesissue" sheetId="23" r:id="rId22"/>
    <sheet name="23-lookup" sheetId="24" r:id="rId23"/>
  </sheets>
  <definedNames>
    <definedName name="_xlnm._FilterDatabase" localSheetId="4" hidden="1">'5- SortAndFilter'!$A$1:$E$1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24" l="1"/>
  <c r="D14" i="24"/>
  <c r="C14" i="24"/>
  <c r="B14" i="24"/>
  <c r="C12" i="23"/>
  <c r="D14" i="22"/>
  <c r="D13" i="22"/>
  <c r="D16" i="21"/>
  <c r="D15" i="21"/>
  <c r="D14" i="20"/>
  <c r="D13" i="20"/>
  <c r="C12" i="19"/>
  <c r="E14" i="16"/>
  <c r="C14" i="18"/>
  <c r="C5" i="17"/>
  <c r="C6" i="17"/>
  <c r="D15" i="17" s="1"/>
  <c r="C7" i="17"/>
  <c r="C8" i="17"/>
  <c r="C9" i="17"/>
  <c r="C4" i="17"/>
  <c r="D11" i="15"/>
  <c r="D10" i="15"/>
  <c r="B15" i="12"/>
  <c r="B14" i="12"/>
  <c r="B13" i="12"/>
  <c r="B12" i="12"/>
  <c r="D21" i="9"/>
  <c r="D20" i="9"/>
  <c r="D19" i="9"/>
  <c r="D18" i="9"/>
  <c r="D17" i="9"/>
  <c r="D16" i="9"/>
  <c r="F8" i="8"/>
  <c r="F9" i="8"/>
  <c r="F7" i="8"/>
  <c r="E8" i="8"/>
  <c r="E9" i="8"/>
  <c r="E7" i="8"/>
  <c r="C8" i="8"/>
  <c r="C9" i="8"/>
  <c r="C7" i="8"/>
  <c r="E11" i="7"/>
  <c r="D11" i="7"/>
  <c r="H5" i="7"/>
  <c r="H6" i="7"/>
  <c r="H7" i="7"/>
  <c r="H4" i="7"/>
  <c r="G5" i="7"/>
  <c r="G6" i="7"/>
  <c r="G7" i="7"/>
  <c r="G4" i="7"/>
  <c r="F5" i="7"/>
  <c r="F6" i="7"/>
  <c r="F7" i="7"/>
  <c r="F4" i="7"/>
  <c r="E5" i="7"/>
  <c r="E6" i="7"/>
  <c r="E7" i="7"/>
  <c r="E4" i="7"/>
  <c r="D5" i="7"/>
  <c r="D6" i="7"/>
  <c r="D7" i="7"/>
  <c r="D4" i="7"/>
  <c r="C5" i="7"/>
  <c r="C6" i="7"/>
  <c r="C7" i="7"/>
  <c r="C4" i="7"/>
  <c r="B5" i="7"/>
  <c r="B6" i="7"/>
  <c r="B7" i="7"/>
  <c r="B4" i="7"/>
  <c r="H5" i="6"/>
  <c r="H6" i="6"/>
  <c r="H7" i="6"/>
  <c r="H8" i="6"/>
  <c r="H9" i="6"/>
  <c r="H10" i="6"/>
  <c r="H4" i="6"/>
  <c r="G5" i="6"/>
  <c r="G6" i="6"/>
  <c r="G7" i="6"/>
  <c r="G8" i="6"/>
  <c r="G9" i="6"/>
  <c r="G10" i="6"/>
  <c r="G4" i="6"/>
  <c r="F5" i="6"/>
  <c r="F6" i="6"/>
  <c r="F7" i="6"/>
  <c r="F8" i="6"/>
  <c r="F9" i="6"/>
  <c r="F10" i="6"/>
  <c r="F4" i="6"/>
  <c r="E5" i="6"/>
  <c r="E6" i="6"/>
  <c r="E7" i="6"/>
  <c r="E8" i="6"/>
  <c r="E9" i="6"/>
  <c r="E10" i="6"/>
  <c r="E4" i="6"/>
  <c r="D5" i="6"/>
  <c r="D6" i="6"/>
  <c r="D7" i="6"/>
  <c r="D8" i="6"/>
  <c r="D9" i="6"/>
  <c r="D10" i="6"/>
  <c r="D4" i="6"/>
  <c r="C15" i="4"/>
  <c r="C14" i="4"/>
  <c r="C13" i="4"/>
  <c r="C5" i="4"/>
  <c r="C6" i="4"/>
  <c r="C7" i="4"/>
  <c r="C8" i="4"/>
  <c r="C9" i="4"/>
  <c r="C10" i="4"/>
  <c r="C11" i="4"/>
  <c r="C4" i="4"/>
  <c r="D7" i="3"/>
  <c r="D8" i="3"/>
  <c r="D9" i="3"/>
  <c r="D6" i="3"/>
  <c r="C9" i="3"/>
  <c r="C8" i="3"/>
  <c r="C7" i="3"/>
  <c r="C6" i="3"/>
  <c r="D13" i="2"/>
  <c r="D14" i="2"/>
  <c r="D12" i="2"/>
  <c r="D11" i="2"/>
</calcChain>
</file>

<file path=xl/sharedStrings.xml><?xml version="1.0" encoding="utf-8"?>
<sst xmlns="http://schemas.openxmlformats.org/spreadsheetml/2006/main" count="626" uniqueCount="343">
  <si>
    <t>Excel Basics Practice - Cells. Rows, Columns &amp; Formatting</t>
  </si>
  <si>
    <t xml:space="preserve">Roll No.  </t>
  </si>
  <si>
    <t xml:space="preserve">Student Name </t>
  </si>
  <si>
    <t>Aarav</t>
  </si>
  <si>
    <t>Priya</t>
  </si>
  <si>
    <t>Rohan</t>
  </si>
  <si>
    <t>Sneha</t>
  </si>
  <si>
    <t>Kabir</t>
  </si>
  <si>
    <t>Ishita</t>
  </si>
  <si>
    <t xml:space="preserve">Subject </t>
  </si>
  <si>
    <t>Maths</t>
  </si>
  <si>
    <t>Science</t>
  </si>
  <si>
    <t>English</t>
  </si>
  <si>
    <t>Marks</t>
  </si>
  <si>
    <t>Month</t>
  </si>
  <si>
    <t>sales(Rs.)</t>
  </si>
  <si>
    <t>January</t>
  </si>
  <si>
    <t>February</t>
  </si>
  <si>
    <t>March</t>
  </si>
  <si>
    <t>April</t>
  </si>
  <si>
    <t>May</t>
  </si>
  <si>
    <t>June</t>
  </si>
  <si>
    <t>Total (SUM)</t>
  </si>
  <si>
    <t>Average(AVERAGE)</t>
  </si>
  <si>
    <t>Highest(MAX)</t>
  </si>
  <si>
    <t>Lowest(MIN)</t>
  </si>
  <si>
    <t>Basic Formulas Practice - SUM,AVE,MIN,MAX</t>
  </si>
  <si>
    <t xml:space="preserve">Cell References Practice - Relative, Absolute &amp; Mixed </t>
  </si>
  <si>
    <t>Tax Rate-&gt;</t>
  </si>
  <si>
    <t>Item</t>
  </si>
  <si>
    <t>Price(Rs.)</t>
  </si>
  <si>
    <t>Relative Ref(Wrong on copy)</t>
  </si>
  <si>
    <t>Absolute Ref $B$3(correct)</t>
  </si>
  <si>
    <t xml:space="preserve">Pen </t>
  </si>
  <si>
    <t>Notebook</t>
  </si>
  <si>
    <t>Beg</t>
  </si>
  <si>
    <t>Bottle</t>
  </si>
  <si>
    <t xml:space="preserve">COUNT, COUNTA, COUNTBLANK &amp; IF Formula </t>
  </si>
  <si>
    <t>Student</t>
  </si>
  <si>
    <t>Result(IF Formula)</t>
  </si>
  <si>
    <t>Meera</t>
  </si>
  <si>
    <t>Dev</t>
  </si>
  <si>
    <t>Total Students(COUNTA)</t>
  </si>
  <si>
    <t>Students with Marks entered(COUNT)</t>
  </si>
  <si>
    <t>Marks missing (COUNTBLANK)</t>
  </si>
  <si>
    <t>Sorting &amp; Filtering Practice</t>
  </si>
  <si>
    <t>Employee</t>
  </si>
  <si>
    <t>Department</t>
  </si>
  <si>
    <t>City</t>
  </si>
  <si>
    <t>Salary(Rs.)</t>
  </si>
  <si>
    <t>Ankit</t>
  </si>
  <si>
    <t>Bhavna</t>
  </si>
  <si>
    <t>Chetna</t>
  </si>
  <si>
    <t>Cdivya</t>
  </si>
  <si>
    <t>Esha</t>
  </si>
  <si>
    <t>Farhan</t>
  </si>
  <si>
    <t>Gita</t>
  </si>
  <si>
    <t>Harsh</t>
  </si>
  <si>
    <t>Ira</t>
  </si>
  <si>
    <t>Jatin</t>
  </si>
  <si>
    <t>IT</t>
  </si>
  <si>
    <t>HR</t>
  </si>
  <si>
    <t>Sales</t>
  </si>
  <si>
    <t>Delhi</t>
  </si>
  <si>
    <t>Mumbai</t>
  </si>
  <si>
    <t>Pune</t>
  </si>
  <si>
    <t>Munbai</t>
  </si>
  <si>
    <t>Logical Function- IF, AND, OR, NOT, Nested IF, IFS</t>
  </si>
  <si>
    <t>Name</t>
  </si>
  <si>
    <t>IF: Pass/Fail(&gt;=40)</t>
  </si>
  <si>
    <t>AND: Both Pass</t>
  </si>
  <si>
    <t>OR: Any subj &gt;=90</t>
  </si>
  <si>
    <t>Nested IF: Grade</t>
  </si>
  <si>
    <t xml:space="preserve">IFS: Grade </t>
  </si>
  <si>
    <t>Text Functions - LEFT, RIGHT, MID, LEN, TRIM, TEXTJOIN, UPPER/LOWER, FIND</t>
  </si>
  <si>
    <t>Full Name (with spaces)</t>
  </si>
  <si>
    <t>TRIM</t>
  </si>
  <si>
    <t>LEFT(3)</t>
  </si>
  <si>
    <t>MID(2,3)</t>
  </si>
  <si>
    <t>LEN</t>
  </si>
  <si>
    <t>UPPER</t>
  </si>
  <si>
    <t>LOWER</t>
  </si>
  <si>
    <t>Aarav sharma</t>
  </si>
  <si>
    <t>Priya Verma</t>
  </si>
  <si>
    <t>Rohan Gupta</t>
  </si>
  <si>
    <t>Sneha Iyer</t>
  </si>
  <si>
    <t>RIGHT(4)</t>
  </si>
  <si>
    <t>TEXTJOIN &amp; FIND Practice</t>
  </si>
  <si>
    <t xml:space="preserve">First Name </t>
  </si>
  <si>
    <t xml:space="preserve">Last Name </t>
  </si>
  <si>
    <t xml:space="preserve">Email </t>
  </si>
  <si>
    <t>TEXTJOIN(Full Nmae)</t>
  </si>
  <si>
    <t>FIND @position</t>
  </si>
  <si>
    <t xml:space="preserve">Kabir </t>
  </si>
  <si>
    <t>Singh</t>
  </si>
  <si>
    <t>kabir.singh@gmai,com</t>
  </si>
  <si>
    <t>Dates Functions - TODAY, NOW, DATEDIF, EOMONTH, WORKDAY</t>
  </si>
  <si>
    <t>Today's Date</t>
  </si>
  <si>
    <t>Current Date</t>
  </si>
  <si>
    <t xml:space="preserve">Date of Birth </t>
  </si>
  <si>
    <t>Age(DATEDIF, years)</t>
  </si>
  <si>
    <t>Joining Date</t>
  </si>
  <si>
    <t>Month- End of joining(EOMONTH)</t>
  </si>
  <si>
    <t>10 Working Days after joinig(WORKDAY)</t>
  </si>
  <si>
    <t>Conditional Formula- SUMIF(S), COUNTIF(S), AVERAGEIF(S)</t>
  </si>
  <si>
    <t>Chetan</t>
  </si>
  <si>
    <t>Divya</t>
  </si>
  <si>
    <t>Total Salary -IT dept only(SUMIF)</t>
  </si>
  <si>
    <t>Total Salary -IT dept in Delhi (SUMIFS)</t>
  </si>
  <si>
    <t>Count of employees in sales (COUNTIF)</t>
  </si>
  <si>
    <t>Count of Salesemployees in Mumbai (COUNTIFS)</t>
  </si>
  <si>
    <t>Average Salary- HR dept(AVERAGEIF)</t>
  </si>
  <si>
    <t>Average salary-IT dept in Delhi (AVERAGEIFS)</t>
  </si>
  <si>
    <t>Conditional Formatting, Data Validation &amp; Named Ranges</t>
  </si>
  <si>
    <t>Product</t>
  </si>
  <si>
    <t>Scroe(color scale)</t>
  </si>
  <si>
    <t>Sales(Data Bar)</t>
  </si>
  <si>
    <t>Performance (Icon Set)</t>
  </si>
  <si>
    <t>Pen</t>
  </si>
  <si>
    <t>Backpack</t>
  </si>
  <si>
    <t>USB Drive</t>
  </si>
  <si>
    <t>A)ConditionL FormTTING- Already applied below, just look!</t>
  </si>
  <si>
    <t xml:space="preserve">B) Data Validation - Dropdown List </t>
  </si>
  <si>
    <t>Department (pick from dropdown)</t>
  </si>
  <si>
    <t xml:space="preserve">Naveen </t>
  </si>
  <si>
    <t>Ritika</t>
  </si>
  <si>
    <t>Suresh</t>
  </si>
  <si>
    <t>Freeze Panes &amp; Split View — Practice with Large Data</t>
  </si>
  <si>
    <t>Emp ID</t>
  </si>
  <si>
    <t>Salary</t>
  </si>
  <si>
    <t>Join Year</t>
  </si>
  <si>
    <t>E1000</t>
  </si>
  <si>
    <t>Employee 1</t>
  </si>
  <si>
    <t>E1001</t>
  </si>
  <si>
    <t>Employee 2</t>
  </si>
  <si>
    <t>E1002</t>
  </si>
  <si>
    <t>Employee 3</t>
  </si>
  <si>
    <t>Finance</t>
  </si>
  <si>
    <t>E1003</t>
  </si>
  <si>
    <t>Employee 4</t>
  </si>
  <si>
    <t>E1004</t>
  </si>
  <si>
    <t>Employee 5</t>
  </si>
  <si>
    <t>Chennai</t>
  </si>
  <si>
    <t>E1005</t>
  </si>
  <si>
    <t>Employee 6</t>
  </si>
  <si>
    <t>E1006</t>
  </si>
  <si>
    <t>Employee 7</t>
  </si>
  <si>
    <t>Marketing</t>
  </si>
  <si>
    <t>E1007</t>
  </si>
  <si>
    <t>Employee 8</t>
  </si>
  <si>
    <t>E1008</t>
  </si>
  <si>
    <t>Employee 9</t>
  </si>
  <si>
    <t>E1009</t>
  </si>
  <si>
    <t>Employee 10</t>
  </si>
  <si>
    <t>E1010</t>
  </si>
  <si>
    <t>Employee 11</t>
  </si>
  <si>
    <t>E1011</t>
  </si>
  <si>
    <t>Employee 12</t>
  </si>
  <si>
    <t>E1012</t>
  </si>
  <si>
    <t>Employee 13</t>
  </si>
  <si>
    <t>E1013</t>
  </si>
  <si>
    <t>Employee 14</t>
  </si>
  <si>
    <t>E1014</t>
  </si>
  <si>
    <t>Employee 15</t>
  </si>
  <si>
    <t>E1015</t>
  </si>
  <si>
    <t>Employee 16</t>
  </si>
  <si>
    <t>E1016</t>
  </si>
  <si>
    <t>Employee 17</t>
  </si>
  <si>
    <t>E1017</t>
  </si>
  <si>
    <t>Employee 18</t>
  </si>
  <si>
    <t>E1018</t>
  </si>
  <si>
    <t>Employee 19</t>
  </si>
  <si>
    <t>E1019</t>
  </si>
  <si>
    <t>Employee 20</t>
  </si>
  <si>
    <t>E1020</t>
  </si>
  <si>
    <t>Employee 21</t>
  </si>
  <si>
    <t>E1021</t>
  </si>
  <si>
    <t>Employee 22</t>
  </si>
  <si>
    <t>E1022</t>
  </si>
  <si>
    <t>Employee 23</t>
  </si>
  <si>
    <t>E1023</t>
  </si>
  <si>
    <t>Employee 24</t>
  </si>
  <si>
    <t>E1024</t>
  </si>
  <si>
    <t>Employee 25</t>
  </si>
  <si>
    <t>E1025</t>
  </si>
  <si>
    <t>Employee 26</t>
  </si>
  <si>
    <t>E1026</t>
  </si>
  <si>
    <t>Employee 27</t>
  </si>
  <si>
    <t>Bangalore</t>
  </si>
  <si>
    <t>E1027</t>
  </si>
  <si>
    <t>Employee 28</t>
  </si>
  <si>
    <t>E1028</t>
  </si>
  <si>
    <t>Employee 29</t>
  </si>
  <si>
    <t>E1029</t>
  </si>
  <si>
    <t>Employee 30</t>
  </si>
  <si>
    <t>E1030</t>
  </si>
  <si>
    <t>Employee 31</t>
  </si>
  <si>
    <t>E1031</t>
  </si>
  <si>
    <t>Employee 32</t>
  </si>
  <si>
    <t>E1032</t>
  </si>
  <si>
    <t>Employee 33</t>
  </si>
  <si>
    <t>E1033</t>
  </si>
  <si>
    <t>Employee 34</t>
  </si>
  <si>
    <t>E1034</t>
  </si>
  <si>
    <t>Employee 35</t>
  </si>
  <si>
    <t>E1035</t>
  </si>
  <si>
    <t>Employee 36</t>
  </si>
  <si>
    <t>E1036</t>
  </si>
  <si>
    <t>Employee 37</t>
  </si>
  <si>
    <t>E1037</t>
  </si>
  <si>
    <t>Employee 38</t>
  </si>
  <si>
    <t>E1038</t>
  </si>
  <si>
    <t>Employee 39</t>
  </si>
  <si>
    <t>E1039</t>
  </si>
  <si>
    <t>Employee 40</t>
  </si>
  <si>
    <t>Example 1: Basic VLOOKUP - Employee Lookup</t>
  </si>
  <si>
    <t xml:space="preserve">Empl ID </t>
  </si>
  <si>
    <t xml:space="preserve">Name </t>
  </si>
  <si>
    <t>E101</t>
  </si>
  <si>
    <t>E102</t>
  </si>
  <si>
    <t>E103</t>
  </si>
  <si>
    <t>E104</t>
  </si>
  <si>
    <t>E105</t>
  </si>
  <si>
    <t xml:space="preserve">Aarav Sharma </t>
  </si>
  <si>
    <t xml:space="preserve">Bhavna Patel </t>
  </si>
  <si>
    <t>Chetan Rao</t>
  </si>
  <si>
    <t xml:space="preserve">Divya Nair </t>
  </si>
  <si>
    <t>Esha Kapoor</t>
  </si>
  <si>
    <t>Enter Emp ID:</t>
  </si>
  <si>
    <t>Name-&gt;</t>
  </si>
  <si>
    <t>Department-&gt;</t>
  </si>
  <si>
    <t>City-&gt;</t>
  </si>
  <si>
    <t>Salary-&gt;</t>
  </si>
  <si>
    <t>Source Dta - price list (used by the Report sheet )</t>
  </si>
  <si>
    <t xml:space="preserve">Product Code </t>
  </si>
  <si>
    <t xml:space="preserve">Product Name </t>
  </si>
  <si>
    <t>Price (Rs.)</t>
  </si>
  <si>
    <t xml:space="preserve">Stock Qty </t>
  </si>
  <si>
    <t>SKU001</t>
  </si>
  <si>
    <t>SKU002</t>
  </si>
  <si>
    <t>SKU003</t>
  </si>
  <si>
    <t>SKU004</t>
  </si>
  <si>
    <t>SKU005</t>
  </si>
  <si>
    <t xml:space="preserve">Notebook </t>
  </si>
  <si>
    <t>Water Bottle</t>
  </si>
  <si>
    <t xml:space="preserve">Vlookup + IFERROR - Avoid UGLY #N/A Errors </t>
  </si>
  <si>
    <t>Product Name</t>
  </si>
  <si>
    <t xml:space="preserve">Enter Product Code : </t>
  </si>
  <si>
    <t>SKU099</t>
  </si>
  <si>
    <t xml:space="preserve">Plain VLOOKUP (SHOWS #N/A if not found </t>
  </si>
  <si>
    <t xml:space="preserve">VLOOKUP+iferror(shows friendly message </t>
  </si>
  <si>
    <t>Example 4: Two-Way Lookup — INDEX+MATCH on Both Row &amp; Column</t>
  </si>
  <si>
    <t>Region</t>
  </si>
  <si>
    <t>Jan</t>
  </si>
  <si>
    <t>Feb</t>
  </si>
  <si>
    <t>Mar</t>
  </si>
  <si>
    <t>Apr</t>
  </si>
  <si>
    <t>Jun</t>
  </si>
  <si>
    <t>North</t>
  </si>
  <si>
    <t>South</t>
  </si>
  <si>
    <t>East</t>
  </si>
  <si>
    <t>West</t>
  </si>
  <si>
    <t>Sales Value (INDEX+MATCH+MATCH):</t>
  </si>
  <si>
    <t>PICK REGION</t>
  </si>
  <si>
    <t>EAST</t>
  </si>
  <si>
    <t>PICK MONTH</t>
  </si>
  <si>
    <t>APR</t>
  </si>
  <si>
    <t>Example 5: Multi-Criteria Lookup — Product + Size Combo</t>
  </si>
  <si>
    <t>Size</t>
  </si>
  <si>
    <t>Helper Key (Product&amp;Size)</t>
  </si>
  <si>
    <t>T-Shirt</t>
  </si>
  <si>
    <t>S</t>
  </si>
  <si>
    <t>M</t>
  </si>
  <si>
    <t>L</t>
  </si>
  <si>
    <t>Jeans</t>
  </si>
  <si>
    <t>Pick Product:</t>
  </si>
  <si>
    <t>Pick Size:</t>
  </si>
  <si>
    <t>Matching Price (INDEX+MATCH on Helper Key):</t>
  </si>
  <si>
    <t>Example 6: VLOOKUP + MATCH — Let the User Pick Which Column to Fetch</t>
  </si>
  <si>
    <t>Aarav Sharma</t>
  </si>
  <si>
    <t>Bhavna Patel</t>
  </si>
  <si>
    <t>Divya Nair</t>
  </si>
  <si>
    <t>Pick Field to Fetch:</t>
  </si>
  <si>
    <t>Result (dynamic VLOOKUP):</t>
  </si>
  <si>
    <t>Example 7: VLOOKUP with Wildcards — Partial Text Search</t>
  </si>
  <si>
    <t>Customer Full Name</t>
  </si>
  <si>
    <t>Rajesh Kumar Verma</t>
  </si>
  <si>
    <t>Sunita Devi Sharma</t>
  </si>
  <si>
    <t>Amit Prakash Singh</t>
  </si>
  <si>
    <t>Neha Rani Gupta</t>
  </si>
  <si>
    <t>Type Partial Name:</t>
  </si>
  <si>
    <t>Amit</t>
  </si>
  <si>
    <t>Matching Customer's City (wildcard VLOOKUP):</t>
  </si>
  <si>
    <t>Limitation 1: VLOOKUP Cannot Look to the LEFT</t>
  </si>
  <si>
    <t>Category</t>
  </si>
  <si>
    <t>Product ID</t>
  </si>
  <si>
    <t>Stationery</t>
  </si>
  <si>
    <t>P101</t>
  </si>
  <si>
    <t>P102</t>
  </si>
  <si>
    <t>Accessories</t>
  </si>
  <si>
    <t>P103</t>
  </si>
  <si>
    <t>P104</t>
  </si>
  <si>
    <t>Electronics</t>
  </si>
  <si>
    <t>P105</t>
  </si>
  <si>
    <t>Search Product Name:</t>
  </si>
  <si>
    <t>Search Product ID:</t>
  </si>
  <si>
    <t>VLOOKUP For Name using ID(tries table C:A- INVALID direction):</t>
  </si>
  <si>
    <t>INDEX+MATCH For Nmae using ID(works correctly):</t>
  </si>
  <si>
    <t>Limitation 2: VLOOKUP Breaks When a Column Is Inserted</t>
  </si>
  <si>
    <t>ORIGINAL TABLE</t>
  </si>
  <si>
    <t>NEW TABLE (Category column inserted)</t>
  </si>
  <si>
    <t>Price</t>
  </si>
  <si>
    <t>VLOOKUP with hardcoded col_index_num=2 (worked on ORIGINAL table for Price):</t>
  </si>
  <si>
    <t>VLOOKUP with corrected col_index_num=3 (you must manually fix it):</t>
  </si>
  <si>
    <t>INDEX+MATCH using column reference (Price col) — needs NO manual fixing:</t>
  </si>
  <si>
    <t>Limitation 3: FALSE vs TRUE (Exact vs Approximate Match)</t>
  </si>
  <si>
    <t>Min Marks</t>
  </si>
  <si>
    <t>Grade</t>
  </si>
  <si>
    <t>F</t>
  </si>
  <si>
    <t>D</t>
  </si>
  <si>
    <t>C</t>
  </si>
  <si>
    <t>B</t>
  </si>
  <si>
    <t>A</t>
  </si>
  <si>
    <t>Enter Marks:</t>
  </si>
  <si>
    <t>VLOOKUP with TRUE (approximate match) -&gt; finds correct grade band:</t>
  </si>
  <si>
    <t>VLOOKUP with FALSE (exact match) on the SAME marks (68 is not in the table exactly):</t>
  </si>
  <si>
    <t>Limitation 4: VLOOKUP Only Returns the FIRST Match</t>
  </si>
  <si>
    <t>VLOOKUP for 'IT' Employee:</t>
  </si>
  <si>
    <t>Lookup Functions — VLOOKUP, HLOOKUP, INDEX + MATCH</t>
  </si>
  <si>
    <t>Product Table (source data)</t>
  </si>
  <si>
    <t>Lookup Practice — enter a Product ID and see results</t>
  </si>
  <si>
    <t>Product ID (type here)</t>
  </si>
  <si>
    <t>VLOOKUP -&gt; Name</t>
  </si>
  <si>
    <t>VLOOKUP -&gt; Price</t>
  </si>
  <si>
    <t>INDEX+MATCH -&gt; Category</t>
  </si>
  <si>
    <t>HLOOKUP Example (horizontal data)</t>
  </si>
  <si>
    <t>Quarter</t>
  </si>
  <si>
    <t>Q1</t>
  </si>
  <si>
    <t>Q2</t>
  </si>
  <si>
    <t>Q3</t>
  </si>
  <si>
    <t>Q4</t>
  </si>
  <si>
    <t>Sales (Rs.)</t>
  </si>
  <si>
    <t>Find sales for Quarter: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</si>
</sst>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1F4E78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color rgb="FF1F4E78"/>
      <name val="Arial"/>
      <family val="2"/>
    </font>
    <font>
      <b/>
      <sz val="11"/>
      <name val="Arial"/>
      <family val="2"/>
    </font>
    <font>
      <b/>
      <sz val="10"/>
      <color rgb="FFC00000"/>
      <name val="Arial"/>
      <family val="2"/>
    </font>
    <font>
      <b/>
      <sz val="10"/>
      <color rgb="FF1E7A34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4472C4"/>
        <bgColor rgb="FF666699"/>
      </patternFill>
    </fill>
    <fill>
      <patternFill patternType="solid">
        <fgColor rgb="FFD9E8FB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FFF2CC"/>
        <bgColor rgb="FFFADBD8"/>
      </patternFill>
    </fill>
    <fill>
      <patternFill patternType="solid">
        <fgColor rgb="FFFADBD8"/>
        <bgColor rgb="FFFFF2CC"/>
      </patternFill>
    </fill>
    <fill>
      <patternFill patternType="solid">
        <fgColor rgb="FFD5F5E3"/>
        <bgColor rgb="FFD9E8FB"/>
      </patternFill>
    </fill>
    <fill>
      <patternFill patternType="solid">
        <fgColor rgb="FFD9E8FB"/>
        <bgColor rgb="FFD5F5E3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0" fontId="11" fillId="0" borderId="0"/>
  </cellStyleXfs>
  <cellXfs count="46">
    <xf numFmtId="0" fontId="0" fillId="0" borderId="0" xfId="0"/>
    <xf numFmtId="0" fontId="4" fillId="0" borderId="0" xfId="0" applyFont="1" applyAlignment="1">
      <alignment horizontal="left"/>
    </xf>
    <xf numFmtId="0" fontId="1" fillId="0" borderId="0" xfId="0" applyFont="1"/>
    <xf numFmtId="0" fontId="0" fillId="2" borderId="0" xfId="0" applyFill="1"/>
    <xf numFmtId="0" fontId="4" fillId="0" borderId="0" xfId="0" applyFont="1"/>
    <xf numFmtId="0" fontId="0" fillId="3" borderId="0" xfId="0" applyFill="1"/>
    <xf numFmtId="9" fontId="0" fillId="3" borderId="0" xfId="0" applyNumberForma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8" fillId="0" borderId="0" xfId="0" applyFont="1"/>
    <xf numFmtId="0" fontId="9" fillId="5" borderId="0" xfId="1" applyFill="1"/>
    <xf numFmtId="14" fontId="0" fillId="0" borderId="0" xfId="0" applyNumberFormat="1"/>
    <xf numFmtId="0" fontId="0" fillId="7" borderId="0" xfId="0" applyFill="1"/>
    <xf numFmtId="0" fontId="3" fillId="0" borderId="0" xfId="0" applyFont="1"/>
    <xf numFmtId="0" fontId="10" fillId="0" borderId="0" xfId="0" applyFont="1" applyAlignment="1">
      <alignment horizontal="left"/>
    </xf>
    <xf numFmtId="0" fontId="7" fillId="0" borderId="0" xfId="0" applyFont="1"/>
    <xf numFmtId="0" fontId="2" fillId="8" borderId="0" xfId="0" applyFont="1" applyFill="1"/>
    <xf numFmtId="0" fontId="14" fillId="9" borderId="1" xfId="2" applyFont="1" applyFill="1" applyBorder="1" applyAlignment="1">
      <alignment horizontal="center" vertical="center" wrapText="1"/>
    </xf>
    <xf numFmtId="0" fontId="15" fillId="0" borderId="1" xfId="2" applyFont="1" applyBorder="1"/>
    <xf numFmtId="0" fontId="13" fillId="0" borderId="0" xfId="2" applyFont="1"/>
    <xf numFmtId="0" fontId="5" fillId="0" borderId="0" xfId="0" applyFont="1"/>
    <xf numFmtId="0" fontId="17" fillId="0" borderId="0" xfId="2" applyFont="1"/>
    <xf numFmtId="0" fontId="11" fillId="0" borderId="0" xfId="2"/>
    <xf numFmtId="0" fontId="11" fillId="11" borderId="0" xfId="2" applyFill="1"/>
    <xf numFmtId="0" fontId="11" fillId="10" borderId="0" xfId="2" applyFill="1"/>
    <xf numFmtId="0" fontId="15" fillId="10" borderId="1" xfId="2" applyFont="1" applyFill="1" applyBorder="1"/>
    <xf numFmtId="0" fontId="11" fillId="12" borderId="0" xfId="2" applyFill="1"/>
    <xf numFmtId="0" fontId="20" fillId="0" borderId="0" xfId="0" applyFont="1"/>
    <xf numFmtId="0" fontId="21" fillId="0" borderId="0" xfId="0" applyFont="1"/>
    <xf numFmtId="0" fontId="0" fillId="16" borderId="0" xfId="0" applyFill="1"/>
    <xf numFmtId="0" fontId="0" fillId="17" borderId="0" xfId="0" applyFill="1"/>
    <xf numFmtId="0" fontId="18" fillId="13" borderId="0" xfId="2" applyFont="1" applyFill="1"/>
    <xf numFmtId="0" fontId="19" fillId="14" borderId="0" xfId="2" applyFont="1" applyFill="1"/>
    <xf numFmtId="0" fontId="11" fillId="15" borderId="0" xfId="2" applyFill="1"/>
    <xf numFmtId="0" fontId="16" fillId="0" borderId="0" xfId="2" applyFont="1"/>
    <xf numFmtId="0" fontId="15" fillId="11" borderId="1" xfId="2" applyFont="1" applyFill="1" applyBorder="1"/>
    <xf numFmtId="0" fontId="16" fillId="0" borderId="0" xfId="2" applyFont="1"/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13" fillId="0" borderId="0" xfId="2" applyFont="1"/>
    <xf numFmtId="0" fontId="17" fillId="0" borderId="0" xfId="2" applyFont="1"/>
    <xf numFmtId="0" fontId="11" fillId="0" borderId="0" xfId="2"/>
    <xf numFmtId="0" fontId="12" fillId="0" borderId="0" xfId="2" applyFont="1"/>
    <xf numFmtId="0" fontId="19" fillId="0" borderId="0" xfId="2" applyFont="1"/>
    <xf numFmtId="0" fontId="18" fillId="0" borderId="0" xfId="2" applyFont="1"/>
  </cellXfs>
  <cellStyles count="3">
    <cellStyle name="Hyperlink" xfId="1" builtinId="8"/>
    <cellStyle name="Normal" xfId="0" builtinId="0"/>
    <cellStyle name="Normal 2" xfId="2" xr:uid="{B9E8A4F6-A755-42D7-9324-1683C6A53FF3}"/>
  </cellStyles>
  <dxfs count="29"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numFmt numFmtId="19" formatCode="dd/mm/yy"/>
    </dxf>
    <dxf>
      <numFmt numFmtId="19" formatCode="dd/mm/yy"/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E9F7E0-D1F5-4821-A28B-A97272F74E18}" name="Table1" displayName="Table1" ref="A3:D9" totalsRowShown="0">
  <autoFilter ref="A3:D9" xr:uid="{16E9F7E0-D1F5-4821-A28B-A97272F74E18}">
    <filterColumn colId="0" hiddenButton="1"/>
    <filterColumn colId="1" hiddenButton="1"/>
    <filterColumn colId="2" hiddenButton="1"/>
    <filterColumn colId="3" hiddenButton="1"/>
  </autoFilter>
  <tableColumns count="4">
    <tableColumn id="1" xr3:uid="{5AE26BBD-87BF-43D4-A49B-AE307CE272CE}" name="Roll No.  "/>
    <tableColumn id="2" xr3:uid="{225A2C42-39B0-43BB-B02A-3787E52E5DAD}" name="Student Name "/>
    <tableColumn id="3" xr3:uid="{34315F2C-A08B-44CF-9767-9C9143E83D6B}" name="Subject "/>
    <tableColumn id="4" xr3:uid="{DFD16485-E78F-4D4A-89EA-63CB3ABBDF93}" name="Marks"/>
  </tableColumns>
  <tableStyleInfo name="TableStyleDark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6B5B4E-B8DA-4FDB-9581-8E8C2F4B82C7}" name="Table2" displayName="Table2" ref="A3:B9" totalsRowShown="0">
  <autoFilter ref="A3:B9" xr:uid="{F86B5B4E-B8DA-4FDB-9581-8E8C2F4B82C7}">
    <filterColumn colId="0" hiddenButton="1"/>
    <filterColumn colId="1" hiddenButton="1"/>
  </autoFilter>
  <tableColumns count="2">
    <tableColumn id="1" xr3:uid="{58A22884-19C1-4831-8EAA-1B2FA604DEFE}" name="Month"/>
    <tableColumn id="2" xr3:uid="{8E3E640A-AC2D-4D92-88B2-A3B4737CD2D8}" name="sales(Rs.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BDED373-81A4-457F-8E18-1E6520EA3CBE}" name="Table3" displayName="Table3" ref="A5:D9" totalsRowShown="0">
  <autoFilter ref="A5:D9" xr:uid="{0BDED373-81A4-457F-8E18-1E6520EA3CBE}">
    <filterColumn colId="0" hiddenButton="1"/>
    <filterColumn colId="1" hiddenButton="1"/>
    <filterColumn colId="2" hiddenButton="1"/>
    <filterColumn colId="3" hiddenButton="1"/>
  </autoFilter>
  <tableColumns count="4">
    <tableColumn id="1" xr3:uid="{F801135F-E04D-4F1F-8B4B-B9D70D6631B5}" name="Item"/>
    <tableColumn id="2" xr3:uid="{26596960-991F-4FEE-93EA-EB7821BEED76}" name="Price(Rs.)"/>
    <tableColumn id="3" xr3:uid="{BDC90423-A08A-4B42-A50B-F7BED144FCB0}" name="Relative Ref(Wrong on copy)"/>
    <tableColumn id="4" xr3:uid="{273B34D3-28E5-4A9B-A8A3-B349532336EE}" name="Absolute Ref $B$3(correct)">
      <calculatedColumnFormula>B6*$B$3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24DF196-8725-4FF7-82AA-6E2ACF3CC8A6}" name="Table5" displayName="Table5" ref="A3:C11" totalsRowShown="0">
  <autoFilter ref="A3:C11" xr:uid="{024DF196-8725-4FF7-82AA-6E2ACF3CC8A6}">
    <filterColumn colId="0" hiddenButton="1"/>
    <filterColumn colId="1" hiddenButton="1"/>
    <filterColumn colId="2" hiddenButton="1"/>
  </autoFilter>
  <tableColumns count="3">
    <tableColumn id="1" xr3:uid="{D6E58231-AE79-4A04-9AC3-3BEA443D654E}" name="Student"/>
    <tableColumn id="2" xr3:uid="{D13B67EE-11E5-410D-A6F3-C0583DA747A4}" name="Marks"/>
    <tableColumn id="3" xr3:uid="{9013126A-2D3B-4D87-B1CC-7EAAAD3507AF}" name="Result(IF Formula)">
      <calculatedColumnFormula>IF(B4&gt;=40,"Pass","Fail")</calculatedColumnFormula>
    </tableColumn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F2168C2-006E-4118-8F6B-6AF4F790F68C}" name="Table4" displayName="Table4" ref="A3:D13" totalsRowShown="0">
  <autoFilter ref="A3:D13" xr:uid="{8F2168C2-006E-4118-8F6B-6AF4F790F68C}"/>
  <sortState xmlns:xlrd2="http://schemas.microsoft.com/office/spreadsheetml/2017/richdata2" ref="A4:D13">
    <sortCondition descending="1" ref="A4:A13"/>
  </sortState>
  <tableColumns count="4">
    <tableColumn id="1" xr3:uid="{1EF380F9-04EF-431E-A5A4-FC6F550E83A3}" name="Employee"/>
    <tableColumn id="2" xr3:uid="{7CD26096-7A3A-4B4A-B59E-06DAF9CC556B}" name="Department"/>
    <tableColumn id="3" xr3:uid="{3C442054-8EDC-4F18-8423-EFECCB924B88}" name="City"/>
    <tableColumn id="4" xr3:uid="{75333BDF-CEDC-4137-88F1-31115BEBED92}" name="Salary(Rs.)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C2BD2DD-231A-4727-9FE8-E3FE620543D0}" name="Table10" displayName="Table10" ref="A3:H10" totalsRowShown="0">
  <autoFilter ref="A3:H10" xr:uid="{4C2BD2DD-231A-4727-9FE8-E3FE620543D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E675AF8B-5264-47AB-9A83-8D0417CD9F82}" name="Name" dataDxfId="28"/>
    <tableColumn id="2" xr3:uid="{1735B737-677B-4BE5-B48C-A4AC31EEDEA5}" name="Maths"/>
    <tableColumn id="3" xr3:uid="{74A0F916-FEE0-4015-8B10-F227A0A70310}" name="Science"/>
    <tableColumn id="4" xr3:uid="{AC11D35D-0446-4FBB-8ECC-CB6B825D384D}" name="IF: Pass/Fail(&gt;=40)" dataDxfId="27">
      <calculatedColumnFormula>IF(AND(B4&gt;=40,C4&gt;=40),"Pass","Fail")</calculatedColumnFormula>
    </tableColumn>
    <tableColumn id="5" xr3:uid="{CA5758BD-C46D-4FD9-A468-95E120358341}" name="AND: Both Pass" dataDxfId="26">
      <calculatedColumnFormula>IF(AND(B4&gt;=40,C4&gt;=40),"Yes","No")</calculatedColumnFormula>
    </tableColumn>
    <tableColumn id="6" xr3:uid="{5B5EBE65-DD77-42BE-9D0C-00EF1AC3F4A8}" name="OR: Any subj &gt;=90" dataDxfId="25">
      <calculatedColumnFormula>IF(OR(B4&gt;=90,C4&gt;=90),"Yes","No")</calculatedColumnFormula>
    </tableColumn>
    <tableColumn id="7" xr3:uid="{4AAE34C4-CDFB-44D4-B936-6C5F9E181387}" name="Nested IF: Grade" dataDxfId="24">
      <calculatedColumnFormula>IF(B4&gt;=90,"A",IF(B4&gt;=75,"B",IF(B4&gt;=50,"C","D")))</calculatedColumnFormula>
    </tableColumn>
    <tableColumn id="8" xr3:uid="{64D36D01-33E1-4283-959B-7C5CE7261BD4}" name="IFS: Grade " dataDxfId="23">
      <calculatedColumnFormula>_xlfn.IFS(B4&gt;=90,"A",B4&gt;=75,"B",B4&gt;=50,"C",TRUE(),"D")</calculatedColumnFormula>
    </tableColumn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6F247AC-91A0-4C56-96E3-6D224BFC9B2A}" name="Table7" displayName="Table7" ref="A3:H7" totalsRowShown="0">
  <autoFilter ref="A3:H7" xr:uid="{86F247AC-91A0-4C56-96E3-6D224BFC9B2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338C73FA-8046-4BD2-AC2D-650DFFB5E8D0}" name="Full Name (with spaces)" dataDxfId="22"/>
    <tableColumn id="2" xr3:uid="{A71CEAD3-8CF4-45DC-8EEA-373EC1BA38F5}" name="TRIM" dataDxfId="21">
      <calculatedColumnFormula>TRIM(A4)</calculatedColumnFormula>
    </tableColumn>
    <tableColumn id="3" xr3:uid="{1FCB9979-9970-4EE6-9E74-1A2484761A16}" name="LEFT(3)" dataDxfId="20">
      <calculatedColumnFormula>LEFT(TRIM(A4),3)</calculatedColumnFormula>
    </tableColumn>
    <tableColumn id="4" xr3:uid="{69291FB8-16CD-46FC-A5ED-6ADE58A87C69}" name="RIGHT(4)" dataDxfId="19">
      <calculatedColumnFormula>RIGHT(TRIM(A4),4)</calculatedColumnFormula>
    </tableColumn>
    <tableColumn id="5" xr3:uid="{F5D244E2-D1A1-4C91-AC94-621D986E692C}" name="MID(2,3)" dataDxfId="18">
      <calculatedColumnFormula>MID(TRIM(A4),2,3)</calculatedColumnFormula>
    </tableColumn>
    <tableColumn id="6" xr3:uid="{186281DA-F26B-4951-B696-BA6682FF5791}" name="LEN" dataDxfId="17">
      <calculatedColumnFormula>LEN(A4)</calculatedColumnFormula>
    </tableColumn>
    <tableColumn id="7" xr3:uid="{76F5009D-80C3-4944-B823-892452E34A9D}" name="UPPER" dataDxfId="16">
      <calculatedColumnFormula>UPPER(TRIM(A4))</calculatedColumnFormula>
    </tableColumn>
    <tableColumn id="8" xr3:uid="{07B31723-3430-4140-9BB6-BC771973DB1B}" name="LOWER" dataDxfId="15">
      <calculatedColumnFormula>LOWER(TRIM(A4))</calculatedColumnFormula>
    </tableColumn>
  </tableColumns>
  <tableStyleInfo name="TableStyleMedium2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95F6BD8-30C0-4A93-86BA-D2BCF615CDE7}" name="Table8" displayName="Table8" ref="A10:E11" totalsRowShown="0">
  <autoFilter ref="A10:E11" xr:uid="{C95F6BD8-30C0-4A93-86BA-D2BCF615CDE7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5549A7C-0DAD-40F4-B141-D367BF690E3B}" name="First Name " dataDxfId="14"/>
    <tableColumn id="2" xr3:uid="{B959F388-F427-45A9-AE1D-8089D177ADDA}" name="Last Name " dataDxfId="13"/>
    <tableColumn id="3" xr3:uid="{BC4D6EF1-3BFA-468A-A98D-8181DC97B9BE}" name="Email " dataDxfId="12" dataCellStyle="Hyperlink"/>
    <tableColumn id="4" xr3:uid="{6C43D110-7FF3-44AE-B84E-3726F66BA684}" name="TEXTJOIN(Full Nmae)" dataDxfId="11">
      <calculatedColumnFormula>_xlfn.TEXTJOIN("",TRUE(),A11,B11)</calculatedColumnFormula>
    </tableColumn>
    <tableColumn id="5" xr3:uid="{8A7C8A2A-5DD1-472E-B343-96B0C3DD2116}" name="FIND @position" dataDxfId="10">
      <calculatedColumnFormula>FIND("@",C11)</calculatedColumnFormula>
    </tableColumn>
  </tableColumns>
  <tableStyleInfo name="TableStyleMedium2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312D222-EEBD-4A8C-BD5A-AE7A35BA47C5}" name="Table9" displayName="Table9" ref="A6:F9" totalsRowShown="0">
  <autoFilter ref="A6:F9" xr:uid="{2312D222-EEBD-4A8C-BD5A-AE7A35BA47C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CC01B6E-A312-4E6E-9B63-D204CB6E4E96}" name="Employee"/>
    <tableColumn id="2" xr3:uid="{4ADD0F89-9EE5-43E4-A7B0-FCF40BB87998}" name="Date of Birth " dataDxfId="9"/>
    <tableColumn id="3" xr3:uid="{F7E18D62-C58C-4E90-94EA-9B6A5D0FBAF1}" name="Age(DATEDIF, years)">
      <calculatedColumnFormula>DATEDIF(B7,TODAY(),"Y")</calculatedColumnFormula>
    </tableColumn>
    <tableColumn id="4" xr3:uid="{9F614F95-9FBD-4E7C-BEB6-0C664170A3D9}" name="Joining Date" dataDxfId="8"/>
    <tableColumn id="5" xr3:uid="{3980CB14-5464-4F22-99DC-22BD6017BC3E}" name="Month- End of joining(EOMONTH)">
      <calculatedColumnFormula>EOMONTH(D7,0)</calculatedColumnFormula>
    </tableColumn>
    <tableColumn id="6" xr3:uid="{F0B60015-7C9C-4B6E-B74E-DCBC577AD01D}" name="10 Working Days after joinig(WORKDAY)">
      <calculatedColumnFormula>WORKDAY(D7,10)</calculatedColumnFormula>
    </tableColumn>
  </tableColumns>
  <tableStyleInfo name="TableStyleMedium2"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4DA8D6A-4719-4FE9-B962-ADACB36E0E32}" name="Table11" displayName="Table11" ref="A3:D13" totalsRowShown="0" headerRowDxfId="7" dataDxfId="6">
  <autoFilter ref="A3:D13" xr:uid="{94DA8D6A-4719-4FE9-B962-ADACB36E0E32}"/>
  <tableColumns count="4">
    <tableColumn id="1" xr3:uid="{F21D5DA0-0BE2-4E22-8ABA-C4587D54DEA9}" name="Employee" dataDxfId="5"/>
    <tableColumn id="2" xr3:uid="{1BBD0325-17AA-48BE-B6CE-5CD8C55DB53F}" name="Department" dataDxfId="4"/>
    <tableColumn id="3" xr3:uid="{CD88AB48-56E2-4E70-8FA0-87EEBC20AFD2}" name="City" dataDxfId="3"/>
    <tableColumn id="4" xr3:uid="{D877EF87-3496-4709-AD0B-73AF448CFB49}" name="Salary(Rs.)" dataDxfId="2"/>
  </tableColumns>
  <tableStyleInfo name="TableStyleMedium2"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BA3DA9A-A8ED-459C-9D54-3B5F94AEA63A}" name="Table12" displayName="Table12" ref="A4:D9" totalsRowShown="0">
  <autoFilter ref="A4:D9" xr:uid="{FBA3DA9A-A8ED-459C-9D54-3B5F94AEA63A}">
    <filterColumn colId="0" hiddenButton="1"/>
    <filterColumn colId="1" hiddenButton="1"/>
    <filterColumn colId="2" hiddenButton="1"/>
    <filterColumn colId="3" hiddenButton="1"/>
  </autoFilter>
  <tableColumns count="4">
    <tableColumn id="1" xr3:uid="{183E8D2D-F944-4F50-BAA4-9F0207B9802A}" name="Product"/>
    <tableColumn id="2" xr3:uid="{BEE27655-D10E-4705-83F5-38BE429212F3}" name="Scroe(color scale)"/>
    <tableColumn id="3" xr3:uid="{B13204F4-BDAF-4483-93B7-E1E505228BD1}" name="Sales(Data Bar)"/>
    <tableColumn id="4" xr3:uid="{8B039637-9194-4465-91BB-227B26F426D1}" name="Performance (Icon Set)"/>
  </tableColumns>
  <tableStyleInfo name="TableStyleMedium2" showFirstColumn="0" showLastColumn="0" showRowStripes="0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74829E1-662D-442F-87DE-FA6C482AB62E}" name="Table15" displayName="Table15" ref="A13:B15" headerRowCount="0" totalsRowShown="0">
  <tableColumns count="2">
    <tableColumn id="1" xr3:uid="{ABF3EECB-8947-4B6D-B3DB-224836929BD8}" name="Column1"/>
    <tableColumn id="2" xr3:uid="{2E1C5988-BE15-4AFC-878C-0CC7EFA0E5AC}" name="Column2" headerRowDxfId="1" dataDxfId="0"/>
  </tableColumns>
  <tableStyleInfo name="TableStyleMedium2" showFirstColumn="0" showLastColumn="0" showRowStripes="0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94FD6C25-0E8C-400D-B968-A145B0B42A2E}" name="Table16" displayName="Table16" ref="A3:E8" totalsRowShown="0">
  <autoFilter ref="A3:E8" xr:uid="{94FD6C25-0E8C-400D-B968-A145B0B42A2E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41F9EB41-361E-45E3-B911-2F82A90E78B5}" name="Empl ID "/>
    <tableColumn id="2" xr3:uid="{8703E41D-AF9E-45A3-8BB1-3EDF089B405B}" name="Name "/>
    <tableColumn id="3" xr3:uid="{6C00BC92-1037-401D-9BD5-153E349EB9FF}" name="Department"/>
    <tableColumn id="4" xr3:uid="{D9BDCD59-4403-4313-AEC7-5C4C919FE93E}" name="City"/>
    <tableColumn id="5" xr3:uid="{BE676CEF-C4AA-463F-9978-2BFDE762F011}" name="Salary"/>
  </tableColumns>
  <tableStyleInfo name="TableStyleMedium2" showFirstColumn="0" showLastColumn="0" showRowStripes="0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A30E35E-DAD2-40AE-8CCF-1C898B95B9CF}" name="Table17" displayName="Table17" ref="A3:D8" totalsRowShown="0">
  <autoFilter ref="A3:D8" xr:uid="{BA30E35E-DAD2-40AE-8CCF-1C898B95B9CF}">
    <filterColumn colId="0" hiddenButton="1"/>
    <filterColumn colId="1" hiddenButton="1"/>
    <filterColumn colId="2" hiddenButton="1"/>
    <filterColumn colId="3" hiddenButton="1"/>
  </autoFilter>
  <tableColumns count="4">
    <tableColumn id="1" xr3:uid="{F9B33EB7-DF95-4364-969D-0285686D6F7D}" name="Product Code "/>
    <tableColumn id="2" xr3:uid="{DD180996-A1C1-445E-953F-479D77B4DCEF}" name="Product Name "/>
    <tableColumn id="3" xr3:uid="{1D1F00C4-24E1-4938-AADF-0D8C6E83897C}" name="Price (Rs.)"/>
    <tableColumn id="4" xr3:uid="{C92FC8F0-4797-46D4-88AD-269E440C897D}" name="Stock Qty "/>
  </tableColumns>
  <tableStyleInfo name="TableStyleMedium2" showFirstColumn="0" showLastColumn="0" showRowStripes="0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A73663C-D2F6-4BAF-AA3D-8286F1EFD30A}" name="Table19" displayName="Table19" ref="A3:B6" totalsRowShown="0">
  <autoFilter ref="A3:B6" xr:uid="{9A73663C-D2F6-4BAF-AA3D-8286F1EFD30A}">
    <filterColumn colId="0" hiddenButton="1"/>
    <filterColumn colId="1" hiddenButton="1"/>
  </autoFilter>
  <tableColumns count="2">
    <tableColumn id="1" xr3:uid="{92163548-972E-44A2-89C7-42AC0B17AE1D}" name="Product Code "/>
    <tableColumn id="2" xr3:uid="{F9073C3D-8CF5-4456-BAC6-FB2D0499E958}" name="Product Nam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hyperlink" Target="mailto:kabir.singh@gmai,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63F36-C4BC-4CFF-B275-8D7D060035BB}">
  <dimension ref="A1:I9"/>
  <sheetViews>
    <sheetView topLeftCell="A3" workbookViewId="0">
      <selection activeCell="G9" sqref="G9"/>
    </sheetView>
  </sheetViews>
  <sheetFormatPr defaultRowHeight="14.4" x14ac:dyDescent="0.3"/>
  <cols>
    <col min="1" max="1" width="10.33203125" customWidth="1"/>
    <col min="2" max="2" width="15.44140625" customWidth="1"/>
    <col min="3" max="3" width="9.6640625" customWidth="1"/>
  </cols>
  <sheetData>
    <row r="1" spans="1:9" ht="21" x14ac:dyDescent="0.4">
      <c r="A1" s="38" t="s">
        <v>0</v>
      </c>
      <c r="B1" s="38"/>
      <c r="C1" s="38"/>
      <c r="D1" s="38"/>
      <c r="E1" s="38"/>
      <c r="F1" s="38"/>
      <c r="G1" s="38"/>
      <c r="H1" s="38"/>
      <c r="I1" s="38"/>
    </row>
    <row r="3" spans="1:9" x14ac:dyDescent="0.3">
      <c r="A3" t="s">
        <v>1</v>
      </c>
      <c r="B3" t="s">
        <v>2</v>
      </c>
      <c r="C3" t="s">
        <v>9</v>
      </c>
      <c r="D3" t="s">
        <v>13</v>
      </c>
    </row>
    <row r="4" spans="1:9" x14ac:dyDescent="0.3">
      <c r="A4">
        <v>1</v>
      </c>
      <c r="B4" t="s">
        <v>3</v>
      </c>
      <c r="C4" t="s">
        <v>10</v>
      </c>
      <c r="D4">
        <v>85</v>
      </c>
    </row>
    <row r="5" spans="1:9" x14ac:dyDescent="0.3">
      <c r="A5">
        <v>2</v>
      </c>
      <c r="B5" t="s">
        <v>4</v>
      </c>
      <c r="C5" t="s">
        <v>11</v>
      </c>
      <c r="D5">
        <v>72</v>
      </c>
    </row>
    <row r="6" spans="1:9" x14ac:dyDescent="0.3">
      <c r="A6">
        <v>3</v>
      </c>
      <c r="B6" t="s">
        <v>5</v>
      </c>
      <c r="C6" t="s">
        <v>12</v>
      </c>
      <c r="D6">
        <v>45</v>
      </c>
    </row>
    <row r="7" spans="1:9" x14ac:dyDescent="0.3">
      <c r="A7">
        <v>4</v>
      </c>
      <c r="B7" t="s">
        <v>6</v>
      </c>
      <c r="C7" t="s">
        <v>10</v>
      </c>
      <c r="D7">
        <v>91</v>
      </c>
    </row>
    <row r="8" spans="1:9" x14ac:dyDescent="0.3">
      <c r="A8">
        <v>5</v>
      </c>
      <c r="B8" t="s">
        <v>7</v>
      </c>
      <c r="C8" t="s">
        <v>11</v>
      </c>
      <c r="D8">
        <v>38</v>
      </c>
    </row>
    <row r="9" spans="1:9" x14ac:dyDescent="0.3">
      <c r="A9">
        <v>6</v>
      </c>
      <c r="B9" t="s">
        <v>8</v>
      </c>
      <c r="C9" t="s">
        <v>12</v>
      </c>
      <c r="D9">
        <v>67</v>
      </c>
    </row>
  </sheetData>
  <mergeCells count="1">
    <mergeCell ref="A1:I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47DD5-54FB-4EEB-B78E-D70F278F05C8}">
  <dimension ref="A1:E14"/>
  <sheetViews>
    <sheetView topLeftCell="A2" workbookViewId="0">
      <selection activeCell="I4" sqref="I4"/>
    </sheetView>
  </sheetViews>
  <sheetFormatPr defaultRowHeight="14.4" x14ac:dyDescent="0.3"/>
  <cols>
    <col min="1" max="1" width="21.77734375" customWidth="1"/>
    <col min="2" max="2" width="8.77734375" bestFit="1" customWidth="1"/>
  </cols>
  <sheetData>
    <row r="1" spans="1:5" ht="21" x14ac:dyDescent="0.4">
      <c r="A1" s="4" t="s">
        <v>26</v>
      </c>
      <c r="B1" s="4"/>
      <c r="C1" s="4"/>
      <c r="D1" s="4"/>
      <c r="E1" s="4"/>
    </row>
    <row r="3" spans="1:5" x14ac:dyDescent="0.3">
      <c r="A3" t="s">
        <v>14</v>
      </c>
      <c r="B3" t="s">
        <v>15</v>
      </c>
    </row>
    <row r="4" spans="1:5" x14ac:dyDescent="0.3">
      <c r="A4" t="s">
        <v>16</v>
      </c>
      <c r="B4">
        <v>45000</v>
      </c>
    </row>
    <row r="5" spans="1:5" x14ac:dyDescent="0.3">
      <c r="A5" t="s">
        <v>17</v>
      </c>
      <c r="B5">
        <v>52000</v>
      </c>
    </row>
    <row r="6" spans="1:5" x14ac:dyDescent="0.3">
      <c r="A6" t="s">
        <v>18</v>
      </c>
      <c r="B6">
        <v>38000</v>
      </c>
    </row>
    <row r="7" spans="1:5" x14ac:dyDescent="0.3">
      <c r="A7" t="s">
        <v>19</v>
      </c>
      <c r="B7">
        <v>61000</v>
      </c>
    </row>
    <row r="8" spans="1:5" x14ac:dyDescent="0.3">
      <c r="A8" t="s">
        <v>20</v>
      </c>
      <c r="B8">
        <v>47000</v>
      </c>
    </row>
    <row r="9" spans="1:5" x14ac:dyDescent="0.3">
      <c r="A9" t="s">
        <v>21</v>
      </c>
      <c r="B9">
        <v>55000</v>
      </c>
    </row>
    <row r="11" spans="1:5" ht="15.6" x14ac:dyDescent="0.3">
      <c r="A11" s="39" t="s">
        <v>22</v>
      </c>
      <c r="B11" s="39"/>
      <c r="D11" s="3">
        <f>SUM(B4:B9)</f>
        <v>298000</v>
      </c>
    </row>
    <row r="12" spans="1:5" ht="15.6" x14ac:dyDescent="0.3">
      <c r="A12" s="39" t="s">
        <v>23</v>
      </c>
      <c r="B12" s="39"/>
      <c r="D12" s="3">
        <f>AVERAGE(B4:B9)</f>
        <v>49666.666666666664</v>
      </c>
    </row>
    <row r="13" spans="1:5" ht="15.6" x14ac:dyDescent="0.3">
      <c r="A13" s="39" t="s">
        <v>25</v>
      </c>
      <c r="B13" s="39"/>
      <c r="D13" s="3">
        <f>MIN(B4:B9)</f>
        <v>38000</v>
      </c>
    </row>
    <row r="14" spans="1:5" ht="15.6" x14ac:dyDescent="0.3">
      <c r="A14" s="39" t="s">
        <v>24</v>
      </c>
      <c r="B14" s="39"/>
      <c r="D14" s="3">
        <f>MAX(B4:B9)</f>
        <v>61000</v>
      </c>
    </row>
  </sheetData>
  <mergeCells count="4">
    <mergeCell ref="A11:B11"/>
    <mergeCell ref="A12:B12"/>
    <mergeCell ref="A13:B13"/>
    <mergeCell ref="A14:B14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BA829-BE52-4486-B61A-1777890A9422}">
  <dimension ref="A1:H9"/>
  <sheetViews>
    <sheetView topLeftCell="A3" workbookViewId="0">
      <selection activeCell="I7" sqref="I7"/>
    </sheetView>
  </sheetViews>
  <sheetFormatPr defaultRowHeight="14.4" x14ac:dyDescent="0.3"/>
  <cols>
    <col min="1" max="1" width="9.33203125" bestFit="1" customWidth="1"/>
    <col min="2" max="2" width="10.77734375" customWidth="1"/>
    <col min="3" max="3" width="27" customWidth="1"/>
    <col min="4" max="4" width="25.33203125" customWidth="1"/>
  </cols>
  <sheetData>
    <row r="1" spans="1:8" ht="21" x14ac:dyDescent="0.4">
      <c r="A1" s="38" t="s">
        <v>27</v>
      </c>
      <c r="B1" s="38"/>
      <c r="C1" s="38"/>
      <c r="D1" s="38"/>
      <c r="E1" s="38"/>
      <c r="F1" s="38"/>
      <c r="G1" s="38"/>
      <c r="H1" s="38"/>
    </row>
    <row r="3" spans="1:8" x14ac:dyDescent="0.3">
      <c r="A3" s="2" t="s">
        <v>28</v>
      </c>
      <c r="B3" s="6">
        <v>0.1</v>
      </c>
    </row>
    <row r="5" spans="1:8" x14ac:dyDescent="0.3">
      <c r="A5" t="s">
        <v>29</v>
      </c>
      <c r="B5" t="s">
        <v>30</v>
      </c>
      <c r="C5" t="s">
        <v>31</v>
      </c>
      <c r="D5" t="s">
        <v>32</v>
      </c>
    </row>
    <row r="6" spans="1:8" x14ac:dyDescent="0.3">
      <c r="A6" t="s">
        <v>33</v>
      </c>
      <c r="B6">
        <v>10</v>
      </c>
      <c r="C6">
        <f>B6*B3</f>
        <v>1</v>
      </c>
      <c r="D6">
        <f>B6*$B$3</f>
        <v>1</v>
      </c>
    </row>
    <row r="7" spans="1:8" x14ac:dyDescent="0.3">
      <c r="A7" t="s">
        <v>34</v>
      </c>
      <c r="B7">
        <v>40</v>
      </c>
      <c r="C7">
        <f>B7*B3</f>
        <v>4</v>
      </c>
      <c r="D7">
        <f t="shared" ref="D7:D9" si="0">B7*$B$3</f>
        <v>4</v>
      </c>
    </row>
    <row r="8" spans="1:8" x14ac:dyDescent="0.3">
      <c r="A8" t="s">
        <v>35</v>
      </c>
      <c r="B8">
        <v>500</v>
      </c>
      <c r="C8">
        <f>B8*B3</f>
        <v>50</v>
      </c>
      <c r="D8">
        <f t="shared" si="0"/>
        <v>50</v>
      </c>
    </row>
    <row r="9" spans="1:8" x14ac:dyDescent="0.3">
      <c r="A9" t="s">
        <v>36</v>
      </c>
      <c r="B9">
        <v>150</v>
      </c>
      <c r="C9">
        <f>B9*B3</f>
        <v>15</v>
      </c>
      <c r="D9">
        <f t="shared" si="0"/>
        <v>15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F8AE4-6B8A-4113-ADF4-A3ACED1A117F}">
  <dimension ref="A1:G15"/>
  <sheetViews>
    <sheetView workbookViewId="0">
      <pane ySplit="1" topLeftCell="A3" activePane="bottomLeft" state="frozen"/>
      <selection pane="bottomLeft" activeCell="H7" sqref="H7"/>
    </sheetView>
  </sheetViews>
  <sheetFormatPr defaultRowHeight="14.4" x14ac:dyDescent="0.3"/>
  <cols>
    <col min="1" max="1" width="13.88671875" customWidth="1"/>
    <col min="2" max="2" width="13.77734375" customWidth="1"/>
    <col min="3" max="3" width="18.109375" customWidth="1"/>
  </cols>
  <sheetData>
    <row r="1" spans="1:7" ht="21" x14ac:dyDescent="0.4">
      <c r="A1" s="38" t="s">
        <v>37</v>
      </c>
      <c r="B1" s="38"/>
      <c r="C1" s="38"/>
      <c r="D1" s="38"/>
      <c r="E1" s="38"/>
      <c r="F1" s="38"/>
      <c r="G1" s="38"/>
    </row>
    <row r="3" spans="1:7" x14ac:dyDescent="0.3">
      <c r="A3" t="s">
        <v>38</v>
      </c>
      <c r="B3" t="s">
        <v>13</v>
      </c>
      <c r="C3" t="s">
        <v>39</v>
      </c>
    </row>
    <row r="4" spans="1:7" x14ac:dyDescent="0.3">
      <c r="A4" t="s">
        <v>3</v>
      </c>
      <c r="B4">
        <v>85</v>
      </c>
      <c r="C4" t="str">
        <f>IF(B4&gt;=40,"Pass","Fail")</f>
        <v>Pass</v>
      </c>
    </row>
    <row r="5" spans="1:7" x14ac:dyDescent="0.3">
      <c r="A5" t="s">
        <v>4</v>
      </c>
      <c r="B5">
        <v>72</v>
      </c>
      <c r="C5" t="str">
        <f t="shared" ref="C5:C11" si="0">IF(B5&gt;=40,"Pass","Fail")</f>
        <v>Pass</v>
      </c>
    </row>
    <row r="6" spans="1:7" x14ac:dyDescent="0.3">
      <c r="A6" t="s">
        <v>5</v>
      </c>
      <c r="B6">
        <v>35</v>
      </c>
      <c r="C6" t="str">
        <f t="shared" si="0"/>
        <v>Fail</v>
      </c>
    </row>
    <row r="7" spans="1:7" x14ac:dyDescent="0.3">
      <c r="A7" t="s">
        <v>6</v>
      </c>
      <c r="C7" t="str">
        <f t="shared" si="0"/>
        <v>Fail</v>
      </c>
    </row>
    <row r="8" spans="1:7" x14ac:dyDescent="0.3">
      <c r="A8" t="s">
        <v>7</v>
      </c>
      <c r="B8">
        <v>30</v>
      </c>
      <c r="C8" t="str">
        <f t="shared" si="0"/>
        <v>Fail</v>
      </c>
    </row>
    <row r="9" spans="1:7" x14ac:dyDescent="0.3">
      <c r="A9" t="s">
        <v>8</v>
      </c>
      <c r="B9">
        <v>39</v>
      </c>
      <c r="C9" t="str">
        <f t="shared" si="0"/>
        <v>Fail</v>
      </c>
    </row>
    <row r="10" spans="1:7" x14ac:dyDescent="0.3">
      <c r="A10" t="s">
        <v>40</v>
      </c>
      <c r="B10">
        <v>60</v>
      </c>
      <c r="C10" t="str">
        <f t="shared" si="0"/>
        <v>Pass</v>
      </c>
    </row>
    <row r="11" spans="1:7" x14ac:dyDescent="0.3">
      <c r="A11" t="s">
        <v>41</v>
      </c>
      <c r="C11" t="str">
        <f t="shared" si="0"/>
        <v>Fail</v>
      </c>
    </row>
    <row r="13" spans="1:7" x14ac:dyDescent="0.3">
      <c r="A13" s="2" t="s">
        <v>42</v>
      </c>
      <c r="C13" s="7">
        <f>COUNTA(A4:A11)</f>
        <v>8</v>
      </c>
    </row>
    <row r="14" spans="1:7" x14ac:dyDescent="0.3">
      <c r="A14" s="2" t="s">
        <v>43</v>
      </c>
      <c r="C14" s="7">
        <f>COUNT(B4:B11)</f>
        <v>6</v>
      </c>
    </row>
    <row r="15" spans="1:7" x14ac:dyDescent="0.3">
      <c r="A15" s="2" t="s">
        <v>44</v>
      </c>
      <c r="C15" s="7">
        <f>COUNTBLANK(B4:B11)</f>
        <v>2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4B504-8517-4CAA-A156-E83AFF2A6382}">
  <dimension ref="A1:E13"/>
  <sheetViews>
    <sheetView topLeftCell="A3" workbookViewId="0">
      <selection sqref="A1:E1"/>
    </sheetView>
  </sheetViews>
  <sheetFormatPr defaultRowHeight="14.4" x14ac:dyDescent="0.3"/>
  <cols>
    <col min="1" max="1" width="11.21875" customWidth="1"/>
    <col min="2" max="2" width="13" customWidth="1"/>
    <col min="4" max="4" width="11.77734375" customWidth="1"/>
  </cols>
  <sheetData>
    <row r="1" spans="1:5" ht="21" x14ac:dyDescent="0.4">
      <c r="A1" s="38" t="s">
        <v>45</v>
      </c>
      <c r="B1" s="38"/>
      <c r="C1" s="38"/>
      <c r="D1" s="38"/>
      <c r="E1" s="38"/>
    </row>
    <row r="3" spans="1:5" x14ac:dyDescent="0.3">
      <c r="A3" t="s">
        <v>46</v>
      </c>
      <c r="B3" t="s">
        <v>47</v>
      </c>
      <c r="C3" t="s">
        <v>48</v>
      </c>
      <c r="D3" t="s">
        <v>49</v>
      </c>
    </row>
    <row r="4" spans="1:5" x14ac:dyDescent="0.3">
      <c r="A4" t="s">
        <v>59</v>
      </c>
      <c r="B4" t="s">
        <v>60</v>
      </c>
      <c r="C4" t="s">
        <v>63</v>
      </c>
      <c r="D4">
        <v>72000</v>
      </c>
    </row>
    <row r="5" spans="1:5" x14ac:dyDescent="0.3">
      <c r="A5" t="s">
        <v>58</v>
      </c>
      <c r="B5" t="s">
        <v>61</v>
      </c>
      <c r="C5" t="s">
        <v>64</v>
      </c>
      <c r="D5">
        <v>41000</v>
      </c>
    </row>
    <row r="6" spans="1:5" x14ac:dyDescent="0.3">
      <c r="A6" t="s">
        <v>57</v>
      </c>
      <c r="B6" t="s">
        <v>62</v>
      </c>
      <c r="C6" t="s">
        <v>65</v>
      </c>
      <c r="D6">
        <v>39000</v>
      </c>
    </row>
    <row r="7" spans="1:5" x14ac:dyDescent="0.3">
      <c r="A7" t="s">
        <v>56</v>
      </c>
      <c r="B7" t="s">
        <v>60</v>
      </c>
      <c r="C7" t="s">
        <v>63</v>
      </c>
      <c r="D7">
        <v>68000</v>
      </c>
    </row>
    <row r="8" spans="1:5" x14ac:dyDescent="0.3">
      <c r="A8" t="s">
        <v>55</v>
      </c>
      <c r="B8" t="s">
        <v>61</v>
      </c>
      <c r="C8" t="s">
        <v>65</v>
      </c>
      <c r="D8">
        <v>40000</v>
      </c>
    </row>
    <row r="9" spans="1:5" x14ac:dyDescent="0.3">
      <c r="A9" t="s">
        <v>54</v>
      </c>
      <c r="B9" t="s">
        <v>62</v>
      </c>
      <c r="C9" t="s">
        <v>66</v>
      </c>
      <c r="D9">
        <v>45000</v>
      </c>
    </row>
    <row r="10" spans="1:5" x14ac:dyDescent="0.3">
      <c r="A10" t="s">
        <v>52</v>
      </c>
      <c r="B10" t="s">
        <v>61</v>
      </c>
      <c r="C10" t="s">
        <v>63</v>
      </c>
      <c r="D10">
        <v>38000</v>
      </c>
    </row>
    <row r="11" spans="1:5" x14ac:dyDescent="0.3">
      <c r="A11" t="s">
        <v>53</v>
      </c>
      <c r="B11" t="s">
        <v>60</v>
      </c>
      <c r="C11" t="s">
        <v>65</v>
      </c>
      <c r="D11">
        <v>71000</v>
      </c>
    </row>
    <row r="12" spans="1:5" x14ac:dyDescent="0.3">
      <c r="A12" t="s">
        <v>51</v>
      </c>
      <c r="B12" t="s">
        <v>60</v>
      </c>
      <c r="C12" t="s">
        <v>64</v>
      </c>
      <c r="D12">
        <v>65000</v>
      </c>
    </row>
    <row r="13" spans="1:5" x14ac:dyDescent="0.3">
      <c r="A13" t="s">
        <v>50</v>
      </c>
      <c r="B13" t="s">
        <v>62</v>
      </c>
      <c r="C13" t="s">
        <v>63</v>
      </c>
      <c r="D13">
        <v>42000</v>
      </c>
    </row>
  </sheetData>
  <sortState xmlns:xlrd2="http://schemas.microsoft.com/office/spreadsheetml/2017/richdata2" ref="A1:E1">
    <sortCondition sortBy="cellColor" ref="A1"/>
  </sortState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B8C10-E7AD-49C0-87E7-8D6D6F62901F}">
  <dimension ref="A1:H10"/>
  <sheetViews>
    <sheetView workbookViewId="0">
      <selection activeCell="F12" sqref="F12"/>
    </sheetView>
  </sheetViews>
  <sheetFormatPr defaultRowHeight="14.4" x14ac:dyDescent="0.3"/>
  <cols>
    <col min="2" max="2" width="8.21875" customWidth="1"/>
    <col min="3" max="3" width="9.21875" customWidth="1"/>
    <col min="4" max="4" width="18" customWidth="1"/>
    <col min="5" max="5" width="15.77734375" customWidth="1"/>
    <col min="6" max="6" width="18.109375" customWidth="1"/>
    <col min="7" max="7" width="16.6640625" customWidth="1"/>
    <col min="8" max="8" width="11.77734375" customWidth="1"/>
  </cols>
  <sheetData>
    <row r="1" spans="1:8" ht="21" x14ac:dyDescent="0.4">
      <c r="A1" s="38" t="s">
        <v>67</v>
      </c>
      <c r="B1" s="38"/>
      <c r="C1" s="38"/>
      <c r="D1" s="38"/>
      <c r="E1" s="38"/>
      <c r="F1" s="38"/>
      <c r="G1" s="38"/>
    </row>
    <row r="3" spans="1:8" x14ac:dyDescent="0.3">
      <c r="A3" t="s">
        <v>68</v>
      </c>
      <c r="B3" t="s">
        <v>10</v>
      </c>
      <c r="C3" t="s">
        <v>11</v>
      </c>
      <c r="D3" t="s">
        <v>69</v>
      </c>
      <c r="E3" t="s">
        <v>70</v>
      </c>
      <c r="F3" t="s">
        <v>71</v>
      </c>
      <c r="G3" t="s">
        <v>72</v>
      </c>
      <c r="H3" t="s">
        <v>73</v>
      </c>
    </row>
    <row r="4" spans="1:8" x14ac:dyDescent="0.3">
      <c r="A4" s="8" t="s">
        <v>3</v>
      </c>
      <c r="B4">
        <v>85</v>
      </c>
      <c r="C4">
        <v>92</v>
      </c>
      <c r="D4" s="13" t="str">
        <f>IF(AND(B4&gt;=40,C4&gt;=40),"Pass","Fail")</f>
        <v>Pass</v>
      </c>
      <c r="E4" s="13" t="str">
        <f>IF(AND(B4&gt;=40,C4&gt;=40),"Yes","No")</f>
        <v>Yes</v>
      </c>
      <c r="F4" s="13" t="str">
        <f>IF(OR(B4&gt;=90,C4&gt;=90),"Yes","No")</f>
        <v>Yes</v>
      </c>
      <c r="G4" s="13" t="str">
        <f>IF(B4&gt;=90,"A",IF(B4&gt;=75,"B",IF(B4&gt;=50,"C","D")))</f>
        <v>B</v>
      </c>
      <c r="H4" s="13" t="str">
        <f>_xlfn.IFS(B4&gt;=90,"A",B4&gt;=75,"B",B4&gt;=50,"C",TRUE(),"D")</f>
        <v>B</v>
      </c>
    </row>
    <row r="5" spans="1:8" x14ac:dyDescent="0.3">
      <c r="A5" s="8" t="s">
        <v>4</v>
      </c>
      <c r="B5">
        <v>72</v>
      </c>
      <c r="C5">
        <v>65</v>
      </c>
      <c r="D5" s="13" t="str">
        <f t="shared" ref="D5:D10" si="0">IF(AND(B5&gt;=40,C5&gt;=40),"Pass","Fail")</f>
        <v>Pass</v>
      </c>
      <c r="E5" s="13" t="str">
        <f t="shared" ref="E5:E10" si="1">IF(AND(B5&gt;=40,C5&gt;=40),"Yes","No")</f>
        <v>Yes</v>
      </c>
      <c r="F5" s="13" t="str">
        <f t="shared" ref="F5:F10" si="2">IF(OR(B5&gt;=90,C5&gt;=90),"Yes","No")</f>
        <v>No</v>
      </c>
      <c r="G5" s="13" t="str">
        <f t="shared" ref="G5:G10" si="3">IF(B5&gt;=90,"A",IF(B5&gt;=75,"B",IF(B5&gt;=50,"C","D")))</f>
        <v>C</v>
      </c>
      <c r="H5" s="13" t="str">
        <f t="shared" ref="H5:H10" si="4">_xlfn.IFS(B5&gt;=90,"A",B5&gt;=75,"B",B5&gt;=50,"C",TRUE(),"D")</f>
        <v>C</v>
      </c>
    </row>
    <row r="6" spans="1:8" x14ac:dyDescent="0.3">
      <c r="A6" s="8" t="s">
        <v>5</v>
      </c>
      <c r="B6">
        <v>35</v>
      </c>
      <c r="C6">
        <v>55</v>
      </c>
      <c r="D6" s="13" t="str">
        <f t="shared" si="0"/>
        <v>Fail</v>
      </c>
      <c r="E6" s="13" t="str">
        <f t="shared" si="1"/>
        <v>No</v>
      </c>
      <c r="F6" s="13" t="str">
        <f t="shared" si="2"/>
        <v>No</v>
      </c>
      <c r="G6" s="13" t="str">
        <f t="shared" si="3"/>
        <v>D</v>
      </c>
      <c r="H6" s="13" t="str">
        <f t="shared" si="4"/>
        <v>D</v>
      </c>
    </row>
    <row r="7" spans="1:8" x14ac:dyDescent="0.3">
      <c r="A7" s="8" t="s">
        <v>6</v>
      </c>
      <c r="B7">
        <v>91</v>
      </c>
      <c r="C7">
        <v>88</v>
      </c>
      <c r="D7" s="13" t="str">
        <f t="shared" si="0"/>
        <v>Pass</v>
      </c>
      <c r="E7" s="13" t="str">
        <f t="shared" si="1"/>
        <v>Yes</v>
      </c>
      <c r="F7" s="13" t="str">
        <f t="shared" si="2"/>
        <v>Yes</v>
      </c>
      <c r="G7" s="13" t="str">
        <f t="shared" si="3"/>
        <v>A</v>
      </c>
      <c r="H7" s="13" t="str">
        <f t="shared" si="4"/>
        <v>A</v>
      </c>
    </row>
    <row r="8" spans="1:8" x14ac:dyDescent="0.3">
      <c r="A8" s="8" t="s">
        <v>7</v>
      </c>
      <c r="B8">
        <v>38</v>
      </c>
      <c r="C8">
        <v>45</v>
      </c>
      <c r="D8" s="13" t="str">
        <f t="shared" si="0"/>
        <v>Fail</v>
      </c>
      <c r="E8" s="13" t="str">
        <f t="shared" si="1"/>
        <v>No</v>
      </c>
      <c r="F8" s="13" t="str">
        <f t="shared" si="2"/>
        <v>No</v>
      </c>
      <c r="G8" s="13" t="str">
        <f t="shared" si="3"/>
        <v>D</v>
      </c>
      <c r="H8" s="13" t="str">
        <f t="shared" si="4"/>
        <v>D</v>
      </c>
    </row>
    <row r="9" spans="1:8" x14ac:dyDescent="0.3">
      <c r="A9" s="8" t="s">
        <v>8</v>
      </c>
      <c r="B9">
        <v>60</v>
      </c>
      <c r="C9">
        <v>39</v>
      </c>
      <c r="D9" s="13" t="str">
        <f t="shared" si="0"/>
        <v>Fail</v>
      </c>
      <c r="E9" s="13" t="str">
        <f t="shared" si="1"/>
        <v>No</v>
      </c>
      <c r="F9" s="13" t="str">
        <f t="shared" si="2"/>
        <v>No</v>
      </c>
      <c r="G9" s="13" t="str">
        <f t="shared" si="3"/>
        <v>C</v>
      </c>
      <c r="H9" s="13" t="str">
        <f t="shared" si="4"/>
        <v>C</v>
      </c>
    </row>
    <row r="10" spans="1:8" x14ac:dyDescent="0.3">
      <c r="A10" s="8" t="s">
        <v>40</v>
      </c>
      <c r="B10">
        <v>45</v>
      </c>
      <c r="C10">
        <v>50</v>
      </c>
      <c r="D10" s="13" t="str">
        <f t="shared" si="0"/>
        <v>Pass</v>
      </c>
      <c r="E10" s="13" t="str">
        <f t="shared" si="1"/>
        <v>Yes</v>
      </c>
      <c r="F10" s="13" t="str">
        <f t="shared" si="2"/>
        <v>No</v>
      </c>
      <c r="G10" s="13" t="str">
        <f t="shared" si="3"/>
        <v>D</v>
      </c>
      <c r="H10" s="13" t="str">
        <f t="shared" si="4"/>
        <v>D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AE235-08A8-449A-892F-87C8EC90FA81}">
  <dimension ref="A1:J11"/>
  <sheetViews>
    <sheetView workbookViewId="0">
      <selection activeCell="G5" sqref="G5"/>
    </sheetView>
  </sheetViews>
  <sheetFormatPr defaultRowHeight="14.4" x14ac:dyDescent="0.3"/>
  <cols>
    <col min="1" max="1" width="22.6640625" customWidth="1"/>
    <col min="2" max="2" width="12.109375" bestFit="1" customWidth="1"/>
    <col min="3" max="3" width="9" customWidth="1"/>
    <col min="4" max="4" width="20.5546875" customWidth="1"/>
    <col min="5" max="5" width="15.88671875" customWidth="1"/>
    <col min="6" max="6" width="6.109375" customWidth="1"/>
    <col min="7" max="7" width="14.21875" bestFit="1" customWidth="1"/>
    <col min="8" max="8" width="12" bestFit="1" customWidth="1"/>
  </cols>
  <sheetData>
    <row r="1" spans="1:10" ht="21" x14ac:dyDescent="0.4">
      <c r="A1" s="4" t="s">
        <v>74</v>
      </c>
      <c r="B1" s="4"/>
      <c r="C1" s="4"/>
      <c r="D1" s="4"/>
      <c r="E1" s="4"/>
      <c r="F1" s="4"/>
      <c r="G1" s="4"/>
      <c r="H1" s="4"/>
      <c r="I1" s="4"/>
      <c r="J1" s="4"/>
    </row>
    <row r="3" spans="1:10" x14ac:dyDescent="0.3">
      <c r="A3" t="s">
        <v>75</v>
      </c>
      <c r="B3" t="s">
        <v>76</v>
      </c>
      <c r="C3" t="s">
        <v>77</v>
      </c>
      <c r="D3" t="s">
        <v>86</v>
      </c>
      <c r="E3" t="s">
        <v>78</v>
      </c>
      <c r="F3" t="s">
        <v>79</v>
      </c>
      <c r="G3" t="s">
        <v>80</v>
      </c>
      <c r="H3" t="s">
        <v>81</v>
      </c>
    </row>
    <row r="4" spans="1:10" x14ac:dyDescent="0.3">
      <c r="A4" s="8" t="s">
        <v>82</v>
      </c>
      <c r="B4" s="9" t="str">
        <f>TRIM(A4)</f>
        <v>Aarav sharma</v>
      </c>
      <c r="C4" s="9" t="str">
        <f>LEFT(TRIM(A4),3)</f>
        <v>Aar</v>
      </c>
      <c r="D4" s="9" t="str">
        <f>RIGHT(TRIM(A4),4)</f>
        <v>arma</v>
      </c>
      <c r="E4" s="9" t="str">
        <f>MID(TRIM(A4),2,3)</f>
        <v>ara</v>
      </c>
      <c r="F4" s="9">
        <f>LEN(A4)</f>
        <v>12</v>
      </c>
      <c r="G4" s="9" t="str">
        <f>UPPER(TRIM(A4))</f>
        <v>AARAV SHARMA</v>
      </c>
      <c r="H4" s="9" t="str">
        <f>LOWER(TRIM(A4))</f>
        <v>aarav sharma</v>
      </c>
    </row>
    <row r="5" spans="1:10" x14ac:dyDescent="0.3">
      <c r="A5" s="8" t="s">
        <v>83</v>
      </c>
      <c r="B5" s="9" t="str">
        <f t="shared" ref="B5:B7" si="0">TRIM(A5)</f>
        <v>Priya Verma</v>
      </c>
      <c r="C5" s="9" t="str">
        <f t="shared" ref="C5:C7" si="1">LEFT(TRIM(A5),3)</f>
        <v>Pri</v>
      </c>
      <c r="D5" s="9" t="str">
        <f t="shared" ref="D5:D7" si="2">RIGHT(TRIM(A5),4)</f>
        <v>erma</v>
      </c>
      <c r="E5" s="9" t="str">
        <f t="shared" ref="E5:E7" si="3">MID(TRIM(A5),2,3)</f>
        <v>riy</v>
      </c>
      <c r="F5" s="9">
        <f t="shared" ref="F5:F7" si="4">LEN(A5)</f>
        <v>11</v>
      </c>
      <c r="G5" s="9" t="str">
        <f t="shared" ref="G5:G7" si="5">UPPER(TRIM(A5))</f>
        <v>PRIYA VERMA</v>
      </c>
      <c r="H5" s="9" t="str">
        <f t="shared" ref="H5:H7" si="6">LOWER(TRIM(A5))</f>
        <v>priya verma</v>
      </c>
    </row>
    <row r="6" spans="1:10" x14ac:dyDescent="0.3">
      <c r="A6" s="8" t="s">
        <v>84</v>
      </c>
      <c r="B6" s="9" t="str">
        <f t="shared" si="0"/>
        <v>Rohan Gupta</v>
      </c>
      <c r="C6" s="9" t="str">
        <f t="shared" si="1"/>
        <v>Roh</v>
      </c>
      <c r="D6" s="9" t="str">
        <f t="shared" si="2"/>
        <v>upta</v>
      </c>
      <c r="E6" s="9" t="str">
        <f t="shared" si="3"/>
        <v>oha</v>
      </c>
      <c r="F6" s="9">
        <f t="shared" si="4"/>
        <v>11</v>
      </c>
      <c r="G6" s="9" t="str">
        <f t="shared" si="5"/>
        <v>ROHAN GUPTA</v>
      </c>
      <c r="H6" s="9" t="str">
        <f t="shared" si="6"/>
        <v>rohan gupta</v>
      </c>
    </row>
    <row r="7" spans="1:10" x14ac:dyDescent="0.3">
      <c r="A7" s="8" t="s">
        <v>85</v>
      </c>
      <c r="B7" s="9" t="str">
        <f t="shared" si="0"/>
        <v>Sneha Iyer</v>
      </c>
      <c r="C7" s="9" t="str">
        <f t="shared" si="1"/>
        <v>Sne</v>
      </c>
      <c r="D7" s="9" t="str">
        <f t="shared" si="2"/>
        <v>Iyer</v>
      </c>
      <c r="E7" s="9" t="str">
        <f t="shared" si="3"/>
        <v>neh</v>
      </c>
      <c r="F7" s="9">
        <f t="shared" si="4"/>
        <v>10</v>
      </c>
      <c r="G7" s="9" t="str">
        <f t="shared" si="5"/>
        <v>SNEHA IYER</v>
      </c>
      <c r="H7" s="9" t="str">
        <f t="shared" si="6"/>
        <v>sneha iyer</v>
      </c>
    </row>
    <row r="9" spans="1:10" ht="18" x14ac:dyDescent="0.35">
      <c r="A9" s="10" t="s">
        <v>87</v>
      </c>
    </row>
    <row r="10" spans="1:10" x14ac:dyDescent="0.3">
      <c r="A10" t="s">
        <v>88</v>
      </c>
      <c r="B10" t="s">
        <v>89</v>
      </c>
      <c r="C10" t="s">
        <v>90</v>
      </c>
      <c r="D10" t="s">
        <v>91</v>
      </c>
      <c r="E10" t="s">
        <v>92</v>
      </c>
    </row>
    <row r="11" spans="1:10" x14ac:dyDescent="0.3">
      <c r="A11" s="8" t="s">
        <v>93</v>
      </c>
      <c r="B11" s="8" t="s">
        <v>94</v>
      </c>
      <c r="C11" s="11" t="s">
        <v>95</v>
      </c>
      <c r="D11" s="5" t="str">
        <f>_xlfn.TEXTJOIN("",TRUE(),A11,B11)</f>
        <v>Kabir Singh</v>
      </c>
      <c r="E11" s="5">
        <f>FIND("@",C11)</f>
        <v>12</v>
      </c>
    </row>
  </sheetData>
  <hyperlinks>
    <hyperlink ref="C11" r:id="rId1" xr:uid="{0879EFE2-AC51-4680-AAD1-9677EEC599D0}"/>
  </hyperlinks>
  <pageMargins left="0.7" right="0.7" top="0.75" bottom="0.75" header="0.3" footer="0.3"/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E45BE-04D0-4D46-84F4-F17A28386BD2}">
  <dimension ref="A1:I9"/>
  <sheetViews>
    <sheetView topLeftCell="A2" workbookViewId="0">
      <selection activeCell="H6" sqref="H6"/>
    </sheetView>
  </sheetViews>
  <sheetFormatPr defaultRowHeight="14.4" x14ac:dyDescent="0.3"/>
  <cols>
    <col min="1" max="1" width="11.21875" customWidth="1"/>
    <col min="2" max="2" width="13.88671875" customWidth="1"/>
    <col min="3" max="3" width="20" customWidth="1"/>
    <col min="4" max="4" width="13.109375" customWidth="1"/>
    <col min="5" max="5" width="31.77734375" customWidth="1"/>
    <col min="6" max="6" width="36.5546875" customWidth="1"/>
  </cols>
  <sheetData>
    <row r="1" spans="1:9" ht="21" x14ac:dyDescent="0.4">
      <c r="A1" s="4" t="s">
        <v>96</v>
      </c>
      <c r="B1" s="4"/>
      <c r="C1" s="4"/>
      <c r="D1" s="4"/>
      <c r="E1" s="4"/>
      <c r="F1" s="4"/>
      <c r="G1" s="4"/>
      <c r="H1" s="4"/>
      <c r="I1" s="4"/>
    </row>
    <row r="3" spans="1:9" x14ac:dyDescent="0.3">
      <c r="A3" s="2" t="s">
        <v>97</v>
      </c>
    </row>
    <row r="4" spans="1:9" x14ac:dyDescent="0.3">
      <c r="A4" s="2" t="s">
        <v>98</v>
      </c>
    </row>
    <row r="6" spans="1:9" x14ac:dyDescent="0.3">
      <c r="A6" t="s">
        <v>46</v>
      </c>
      <c r="B6" t="s">
        <v>99</v>
      </c>
      <c r="C6" t="s">
        <v>100</v>
      </c>
      <c r="D6" t="s">
        <v>101</v>
      </c>
      <c r="E6" t="s">
        <v>102</v>
      </c>
      <c r="F6" t="s">
        <v>103</v>
      </c>
    </row>
    <row r="7" spans="1:9" x14ac:dyDescent="0.3">
      <c r="A7" t="s">
        <v>3</v>
      </c>
      <c r="B7" s="12">
        <v>35927</v>
      </c>
      <c r="C7">
        <f ca="1">DATEDIF(B7,TODAY(),"Y")</f>
        <v>28</v>
      </c>
      <c r="D7" s="12">
        <v>44936</v>
      </c>
      <c r="E7">
        <f>EOMONTH(D7,0)</f>
        <v>44957</v>
      </c>
      <c r="F7">
        <f>WORKDAY(D7,10)</f>
        <v>44950</v>
      </c>
    </row>
    <row r="8" spans="1:9" x14ac:dyDescent="0.3">
      <c r="A8" t="s">
        <v>4</v>
      </c>
      <c r="B8" s="12">
        <v>36833</v>
      </c>
      <c r="C8">
        <f t="shared" ref="C8:C9" ca="1" si="0">DATEDIF(B8,TODAY(),"Y")</f>
        <v>25</v>
      </c>
      <c r="D8" s="12">
        <v>44757</v>
      </c>
      <c r="E8">
        <f t="shared" ref="E8:E9" si="1">EOMONTH(D8,0)</f>
        <v>44773</v>
      </c>
      <c r="F8">
        <f t="shared" ref="F8:F9" si="2">WORKDAY(D8,10)</f>
        <v>44771</v>
      </c>
    </row>
    <row r="9" spans="1:9" x14ac:dyDescent="0.3">
      <c r="A9" t="s">
        <v>5</v>
      </c>
      <c r="B9" s="12">
        <v>34757</v>
      </c>
      <c r="C9">
        <f t="shared" ca="1" si="0"/>
        <v>31</v>
      </c>
      <c r="D9" s="12">
        <v>45352</v>
      </c>
      <c r="E9">
        <f t="shared" si="1"/>
        <v>45382</v>
      </c>
      <c r="F9">
        <f t="shared" si="2"/>
        <v>45366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0F880-77A9-409C-B50E-B07997EF73FC}">
  <dimension ref="A1:H21"/>
  <sheetViews>
    <sheetView workbookViewId="0">
      <selection activeCell="I17" sqref="I17"/>
    </sheetView>
  </sheetViews>
  <sheetFormatPr defaultRowHeight="14.4" x14ac:dyDescent="0.3"/>
  <cols>
    <col min="1" max="1" width="12.44140625" customWidth="1"/>
    <col min="2" max="4" width="19.21875" customWidth="1"/>
  </cols>
  <sheetData>
    <row r="1" spans="1:8" ht="21" x14ac:dyDescent="0.4">
      <c r="A1" s="4" t="s">
        <v>104</v>
      </c>
      <c r="B1" s="4"/>
      <c r="C1" s="4"/>
      <c r="D1" s="4"/>
      <c r="E1" s="4"/>
      <c r="F1" s="4"/>
      <c r="G1" s="4"/>
      <c r="H1" s="4"/>
    </row>
    <row r="3" spans="1:8" ht="18" x14ac:dyDescent="0.35">
      <c r="A3" s="14" t="s">
        <v>46</v>
      </c>
      <c r="B3" s="14" t="s">
        <v>47</v>
      </c>
      <c r="C3" s="14" t="s">
        <v>48</v>
      </c>
      <c r="D3" s="14" t="s">
        <v>49</v>
      </c>
    </row>
    <row r="4" spans="1:8" x14ac:dyDescent="0.3">
      <c r="A4" t="s">
        <v>50</v>
      </c>
      <c r="B4" t="s">
        <v>62</v>
      </c>
      <c r="C4" t="s">
        <v>63</v>
      </c>
      <c r="D4">
        <v>42000</v>
      </c>
    </row>
    <row r="5" spans="1:8" x14ac:dyDescent="0.3">
      <c r="A5" t="s">
        <v>51</v>
      </c>
      <c r="B5" t="s">
        <v>60</v>
      </c>
      <c r="C5" t="s">
        <v>64</v>
      </c>
      <c r="D5">
        <v>65000</v>
      </c>
    </row>
    <row r="6" spans="1:8" x14ac:dyDescent="0.3">
      <c r="A6" t="s">
        <v>105</v>
      </c>
      <c r="B6" t="s">
        <v>61</v>
      </c>
      <c r="C6" t="s">
        <v>63</v>
      </c>
      <c r="D6">
        <v>38000</v>
      </c>
    </row>
    <row r="7" spans="1:8" x14ac:dyDescent="0.3">
      <c r="A7" t="s">
        <v>106</v>
      </c>
      <c r="B7" t="s">
        <v>60</v>
      </c>
      <c r="C7" t="s">
        <v>65</v>
      </c>
      <c r="D7">
        <v>71000</v>
      </c>
    </row>
    <row r="8" spans="1:8" x14ac:dyDescent="0.3">
      <c r="A8" t="s">
        <v>54</v>
      </c>
      <c r="B8" t="s">
        <v>62</v>
      </c>
      <c r="C8" t="s">
        <v>64</v>
      </c>
      <c r="D8">
        <v>45000</v>
      </c>
    </row>
    <row r="9" spans="1:8" x14ac:dyDescent="0.3">
      <c r="A9" t="s">
        <v>55</v>
      </c>
      <c r="B9" t="s">
        <v>61</v>
      </c>
      <c r="C9" t="s">
        <v>65</v>
      </c>
      <c r="D9">
        <v>40000</v>
      </c>
    </row>
    <row r="10" spans="1:8" x14ac:dyDescent="0.3">
      <c r="A10" t="s">
        <v>56</v>
      </c>
      <c r="B10" t="s">
        <v>60</v>
      </c>
      <c r="C10" t="s">
        <v>63</v>
      </c>
      <c r="D10">
        <v>68000</v>
      </c>
    </row>
    <row r="11" spans="1:8" x14ac:dyDescent="0.3">
      <c r="A11" t="s">
        <v>57</v>
      </c>
      <c r="B11" t="s">
        <v>62</v>
      </c>
      <c r="C11" t="s">
        <v>65</v>
      </c>
      <c r="D11">
        <v>39000</v>
      </c>
    </row>
    <row r="12" spans="1:8" x14ac:dyDescent="0.3">
      <c r="A12" t="s">
        <v>58</v>
      </c>
      <c r="B12" t="s">
        <v>61</v>
      </c>
      <c r="C12" t="s">
        <v>64</v>
      </c>
      <c r="D12">
        <v>41000</v>
      </c>
    </row>
    <row r="13" spans="1:8" x14ac:dyDescent="0.3">
      <c r="A13" t="s">
        <v>59</v>
      </c>
      <c r="B13" t="s">
        <v>60</v>
      </c>
      <c r="C13" t="s">
        <v>63</v>
      </c>
      <c r="D13">
        <v>72000</v>
      </c>
    </row>
    <row r="16" spans="1:8" x14ac:dyDescent="0.3">
      <c r="A16" s="2" t="s">
        <v>107</v>
      </c>
      <c r="D16" s="7">
        <f>SUMIF(Table11[Department],"IT",Table11[Salary(Rs.)])</f>
        <v>276000</v>
      </c>
    </row>
    <row r="17" spans="1:4" x14ac:dyDescent="0.3">
      <c r="A17" s="2" t="s">
        <v>108</v>
      </c>
      <c r="B17" s="2"/>
      <c r="D17" s="7">
        <f>SUMIFS(Table11[Salary(Rs.)],Table11[Department],"IT",Table11[City],"Delhi")</f>
        <v>140000</v>
      </c>
    </row>
    <row r="18" spans="1:4" x14ac:dyDescent="0.3">
      <c r="A18" s="2" t="s">
        <v>109</v>
      </c>
      <c r="D18" s="7">
        <f>COUNTIF(Table11[Department],"Sales")</f>
        <v>3</v>
      </c>
    </row>
    <row r="19" spans="1:4" x14ac:dyDescent="0.3">
      <c r="A19" s="2" t="s">
        <v>110</v>
      </c>
      <c r="D19" s="7">
        <f>COUNTIFS(Table11[Department],"Sales",Table11[City],"Mumbai")</f>
        <v>1</v>
      </c>
    </row>
    <row r="20" spans="1:4" x14ac:dyDescent="0.3">
      <c r="A20" s="2" t="s">
        <v>111</v>
      </c>
      <c r="D20" s="7">
        <f>AVERAGEIF(Table11[Department],"HR",Table11[Salary(Rs.)])</f>
        <v>39666.666666666664</v>
      </c>
    </row>
    <row r="21" spans="1:4" x14ac:dyDescent="0.3">
      <c r="A21" s="2" t="s">
        <v>112</v>
      </c>
      <c r="D21" s="7">
        <f>AVERAGEIFS(Table11[Salary(Rs.)],Table11[Department],"IT",Table11[City],"Delhi")</f>
        <v>70000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AFA38-BDA1-4A46-A31C-F966382CD6E7}">
  <dimension ref="A1:I15"/>
  <sheetViews>
    <sheetView topLeftCell="A3" workbookViewId="0">
      <selection activeCell="H12" sqref="H12"/>
    </sheetView>
  </sheetViews>
  <sheetFormatPr defaultRowHeight="14.4" x14ac:dyDescent="0.3"/>
  <cols>
    <col min="1" max="1" width="12.6640625" customWidth="1"/>
    <col min="2" max="2" width="30" customWidth="1"/>
    <col min="3" max="3" width="15.5546875" customWidth="1"/>
    <col min="4" max="4" width="22.33203125" customWidth="1"/>
  </cols>
  <sheetData>
    <row r="1" spans="1:9" ht="21" x14ac:dyDescent="0.4">
      <c r="A1" s="38" t="s">
        <v>113</v>
      </c>
      <c r="B1" s="38"/>
      <c r="C1" s="38"/>
      <c r="D1" s="38"/>
      <c r="E1" s="38"/>
      <c r="F1" s="38"/>
      <c r="G1" s="38"/>
      <c r="H1" s="38"/>
      <c r="I1" s="38"/>
    </row>
    <row r="2" spans="1:9" ht="21" x14ac:dyDescent="0.4">
      <c r="A2" s="1"/>
      <c r="B2" s="1"/>
      <c r="C2" s="1"/>
      <c r="D2" s="1"/>
      <c r="E2" s="1"/>
      <c r="F2" s="1"/>
      <c r="G2" s="1"/>
      <c r="H2" s="1"/>
      <c r="I2" s="1"/>
    </row>
    <row r="3" spans="1:9" ht="21" x14ac:dyDescent="0.4">
      <c r="A3" s="15" t="s">
        <v>121</v>
      </c>
      <c r="B3" s="1"/>
      <c r="C3" s="1"/>
      <c r="D3" s="1"/>
      <c r="E3" s="1"/>
      <c r="F3" s="1"/>
      <c r="G3" s="1"/>
      <c r="H3" s="1"/>
      <c r="I3" s="1"/>
    </row>
    <row r="4" spans="1:9" x14ac:dyDescent="0.3">
      <c r="A4" t="s">
        <v>114</v>
      </c>
      <c r="B4" t="s">
        <v>115</v>
      </c>
      <c r="C4" t="s">
        <v>116</v>
      </c>
      <c r="D4" t="s">
        <v>117</v>
      </c>
    </row>
    <row r="5" spans="1:9" x14ac:dyDescent="0.3">
      <c r="A5" t="s">
        <v>34</v>
      </c>
      <c r="B5">
        <v>45</v>
      </c>
      <c r="C5">
        <v>20000</v>
      </c>
      <c r="D5">
        <v>45</v>
      </c>
    </row>
    <row r="6" spans="1:9" x14ac:dyDescent="0.3">
      <c r="A6" t="s">
        <v>118</v>
      </c>
      <c r="B6">
        <v>92</v>
      </c>
      <c r="C6">
        <v>65000</v>
      </c>
      <c r="D6">
        <v>92</v>
      </c>
    </row>
    <row r="7" spans="1:9" x14ac:dyDescent="0.3">
      <c r="A7" t="s">
        <v>119</v>
      </c>
      <c r="B7">
        <v>67</v>
      </c>
      <c r="C7">
        <v>41000</v>
      </c>
      <c r="D7">
        <v>67</v>
      </c>
    </row>
    <row r="8" spans="1:9" x14ac:dyDescent="0.3">
      <c r="A8" t="s">
        <v>36</v>
      </c>
      <c r="B8">
        <v>30</v>
      </c>
      <c r="C8">
        <v>12000</v>
      </c>
      <c r="D8">
        <v>30</v>
      </c>
    </row>
    <row r="9" spans="1:9" x14ac:dyDescent="0.3">
      <c r="A9" t="s">
        <v>120</v>
      </c>
      <c r="B9">
        <v>78</v>
      </c>
      <c r="C9">
        <v>53000</v>
      </c>
      <c r="D9">
        <v>78</v>
      </c>
    </row>
    <row r="11" spans="1:9" x14ac:dyDescent="0.3">
      <c r="A11" s="16" t="s">
        <v>122</v>
      </c>
      <c r="B11" s="16"/>
    </row>
    <row r="12" spans="1:9" x14ac:dyDescent="0.3">
      <c r="A12" s="17" t="s">
        <v>46</v>
      </c>
      <c r="B12" s="17" t="s">
        <v>123</v>
      </c>
    </row>
    <row r="13" spans="1:9" x14ac:dyDescent="0.3">
      <c r="A13" t="s">
        <v>124</v>
      </c>
      <c r="B13" s="8"/>
    </row>
    <row r="14" spans="1:9" x14ac:dyDescent="0.3">
      <c r="A14" t="s">
        <v>125</v>
      </c>
      <c r="B14" s="8"/>
    </row>
    <row r="15" spans="1:9" x14ac:dyDescent="0.3">
      <c r="A15" t="s">
        <v>126</v>
      </c>
      <c r="B15" s="8"/>
    </row>
  </sheetData>
  <mergeCells count="1">
    <mergeCell ref="A1:I1"/>
  </mergeCells>
  <pageMargins left="0.7" right="0.7" top="0.75" bottom="0.75" header="0.3" footer="0.3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A158F-45ED-428C-AC8B-4937D2E13A57}">
  <dimension ref="A1:F43"/>
  <sheetViews>
    <sheetView workbookViewId="0">
      <pane xSplit="8" ySplit="3" topLeftCell="I4" activePane="bottomRight" state="frozen"/>
      <selection pane="topRight" activeCell="I1" sqref="I1"/>
      <selection pane="bottomLeft" activeCell="A5" sqref="A5"/>
      <selection pane="bottomRight" activeCell="A3" sqref="A3:XFD3"/>
    </sheetView>
  </sheetViews>
  <sheetFormatPr defaultRowHeight="14.4" x14ac:dyDescent="0.3"/>
  <cols>
    <col min="2" max="6" width="11.5546875" customWidth="1"/>
  </cols>
  <sheetData>
    <row r="1" spans="1:6" ht="17.399999999999999" x14ac:dyDescent="0.3">
      <c r="A1" s="40" t="s">
        <v>127</v>
      </c>
      <c r="B1" s="40"/>
      <c r="C1" s="40"/>
      <c r="D1" s="40"/>
      <c r="E1" s="40"/>
      <c r="F1" s="40"/>
    </row>
    <row r="3" spans="1:6" ht="27.6" x14ac:dyDescent="0.3">
      <c r="A3" s="18" t="s">
        <v>128</v>
      </c>
      <c r="B3" s="18" t="s">
        <v>68</v>
      </c>
      <c r="C3" s="18" t="s">
        <v>47</v>
      </c>
      <c r="D3" s="18" t="s">
        <v>48</v>
      </c>
      <c r="E3" s="18" t="s">
        <v>129</v>
      </c>
      <c r="F3" s="18" t="s">
        <v>130</v>
      </c>
    </row>
    <row r="4" spans="1:6" x14ac:dyDescent="0.3">
      <c r="A4" s="19" t="s">
        <v>131</v>
      </c>
      <c r="B4" s="19" t="s">
        <v>132</v>
      </c>
      <c r="C4" s="19" t="s">
        <v>62</v>
      </c>
      <c r="D4" s="19" t="s">
        <v>63</v>
      </c>
      <c r="E4" s="19">
        <v>78598</v>
      </c>
      <c r="F4" s="19">
        <v>2019</v>
      </c>
    </row>
    <row r="5" spans="1:6" x14ac:dyDescent="0.3">
      <c r="A5" s="19" t="s">
        <v>133</v>
      </c>
      <c r="B5" s="19" t="s">
        <v>134</v>
      </c>
      <c r="C5" s="19" t="s">
        <v>60</v>
      </c>
      <c r="D5" s="19" t="s">
        <v>64</v>
      </c>
      <c r="E5" s="19">
        <v>39144</v>
      </c>
      <c r="F5" s="19">
        <v>2016</v>
      </c>
    </row>
    <row r="6" spans="1:6" x14ac:dyDescent="0.3">
      <c r="A6" s="19" t="s">
        <v>135</v>
      </c>
      <c r="B6" s="19" t="s">
        <v>136</v>
      </c>
      <c r="C6" s="19" t="s">
        <v>137</v>
      </c>
      <c r="D6" s="19" t="s">
        <v>63</v>
      </c>
      <c r="E6" s="19">
        <v>68698</v>
      </c>
      <c r="F6" s="19">
        <v>2021</v>
      </c>
    </row>
    <row r="7" spans="1:6" x14ac:dyDescent="0.3">
      <c r="A7" s="19" t="s">
        <v>138</v>
      </c>
      <c r="B7" s="19" t="s">
        <v>139</v>
      </c>
      <c r="C7" s="19" t="s">
        <v>62</v>
      </c>
      <c r="D7" s="19" t="s">
        <v>63</v>
      </c>
      <c r="E7" s="19">
        <v>36140</v>
      </c>
      <c r="F7" s="19">
        <v>2018</v>
      </c>
    </row>
    <row r="8" spans="1:6" x14ac:dyDescent="0.3">
      <c r="A8" s="19" t="s">
        <v>140</v>
      </c>
      <c r="B8" s="19" t="s">
        <v>141</v>
      </c>
      <c r="C8" s="19" t="s">
        <v>60</v>
      </c>
      <c r="D8" s="19" t="s">
        <v>142</v>
      </c>
      <c r="E8" s="19">
        <v>69453</v>
      </c>
      <c r="F8" s="19">
        <v>2015</v>
      </c>
    </row>
    <row r="9" spans="1:6" x14ac:dyDescent="0.3">
      <c r="A9" s="19" t="s">
        <v>143</v>
      </c>
      <c r="B9" s="19" t="s">
        <v>144</v>
      </c>
      <c r="C9" s="19" t="s">
        <v>137</v>
      </c>
      <c r="D9" s="19" t="s">
        <v>64</v>
      </c>
      <c r="E9" s="19">
        <v>76925</v>
      </c>
      <c r="F9" s="19">
        <v>2023</v>
      </c>
    </row>
    <row r="10" spans="1:6" x14ac:dyDescent="0.3">
      <c r="A10" s="19" t="s">
        <v>145</v>
      </c>
      <c r="B10" s="19" t="s">
        <v>146</v>
      </c>
      <c r="C10" s="19" t="s">
        <v>147</v>
      </c>
      <c r="D10" s="19" t="s">
        <v>64</v>
      </c>
      <c r="E10" s="19">
        <v>59439</v>
      </c>
      <c r="F10" s="19">
        <v>2024</v>
      </c>
    </row>
    <row r="11" spans="1:6" x14ac:dyDescent="0.3">
      <c r="A11" s="19" t="s">
        <v>148</v>
      </c>
      <c r="B11" s="19" t="s">
        <v>149</v>
      </c>
      <c r="C11" s="19" t="s">
        <v>61</v>
      </c>
      <c r="D11" s="19" t="s">
        <v>63</v>
      </c>
      <c r="E11" s="19">
        <v>79729</v>
      </c>
      <c r="F11" s="19">
        <v>2017</v>
      </c>
    </row>
    <row r="12" spans="1:6" x14ac:dyDescent="0.3">
      <c r="A12" s="19" t="s">
        <v>150</v>
      </c>
      <c r="B12" s="19" t="s">
        <v>151</v>
      </c>
      <c r="C12" s="19" t="s">
        <v>147</v>
      </c>
      <c r="D12" s="19" t="s">
        <v>65</v>
      </c>
      <c r="E12" s="19">
        <v>48210</v>
      </c>
      <c r="F12" s="19">
        <v>2017</v>
      </c>
    </row>
    <row r="13" spans="1:6" x14ac:dyDescent="0.3">
      <c r="A13" s="19" t="s">
        <v>152</v>
      </c>
      <c r="B13" s="19" t="s">
        <v>153</v>
      </c>
      <c r="C13" s="19" t="s">
        <v>60</v>
      </c>
      <c r="D13" s="19" t="s">
        <v>65</v>
      </c>
      <c r="E13" s="19">
        <v>36698</v>
      </c>
      <c r="F13" s="19">
        <v>2016</v>
      </c>
    </row>
    <row r="14" spans="1:6" x14ac:dyDescent="0.3">
      <c r="A14" s="19" t="s">
        <v>154</v>
      </c>
      <c r="B14" s="19" t="s">
        <v>155</v>
      </c>
      <c r="C14" s="19" t="s">
        <v>147</v>
      </c>
      <c r="D14" s="19" t="s">
        <v>63</v>
      </c>
      <c r="E14" s="19">
        <v>53526</v>
      </c>
      <c r="F14" s="19">
        <v>2020</v>
      </c>
    </row>
    <row r="15" spans="1:6" x14ac:dyDescent="0.3">
      <c r="A15" s="19" t="s">
        <v>156</v>
      </c>
      <c r="B15" s="19" t="s">
        <v>157</v>
      </c>
      <c r="C15" s="19" t="s">
        <v>137</v>
      </c>
      <c r="D15" s="19" t="s">
        <v>65</v>
      </c>
      <c r="E15" s="19">
        <v>82895</v>
      </c>
      <c r="F15" s="19">
        <v>2015</v>
      </c>
    </row>
    <row r="16" spans="1:6" x14ac:dyDescent="0.3">
      <c r="A16" s="19" t="s">
        <v>158</v>
      </c>
      <c r="B16" s="19" t="s">
        <v>159</v>
      </c>
      <c r="C16" s="19" t="s">
        <v>147</v>
      </c>
      <c r="D16" s="19" t="s">
        <v>142</v>
      </c>
      <c r="E16" s="19">
        <v>38180</v>
      </c>
      <c r="F16" s="19">
        <v>2021</v>
      </c>
    </row>
    <row r="17" spans="1:6" x14ac:dyDescent="0.3">
      <c r="A17" s="19" t="s">
        <v>160</v>
      </c>
      <c r="B17" s="19" t="s">
        <v>161</v>
      </c>
      <c r="C17" s="19" t="s">
        <v>62</v>
      </c>
      <c r="D17" s="19" t="s">
        <v>142</v>
      </c>
      <c r="E17" s="19">
        <v>49213</v>
      </c>
      <c r="F17" s="19">
        <v>2024</v>
      </c>
    </row>
    <row r="18" spans="1:6" x14ac:dyDescent="0.3">
      <c r="A18" s="19" t="s">
        <v>162</v>
      </c>
      <c r="B18" s="19" t="s">
        <v>163</v>
      </c>
      <c r="C18" s="19" t="s">
        <v>61</v>
      </c>
      <c r="D18" s="19" t="s">
        <v>142</v>
      </c>
      <c r="E18" s="19">
        <v>42601</v>
      </c>
      <c r="F18" s="19">
        <v>2016</v>
      </c>
    </row>
    <row r="19" spans="1:6" x14ac:dyDescent="0.3">
      <c r="A19" s="19" t="s">
        <v>164</v>
      </c>
      <c r="B19" s="19" t="s">
        <v>165</v>
      </c>
      <c r="C19" s="19" t="s">
        <v>62</v>
      </c>
      <c r="D19" s="19" t="s">
        <v>64</v>
      </c>
      <c r="E19" s="19">
        <v>80663</v>
      </c>
      <c r="F19" s="19">
        <v>2019</v>
      </c>
    </row>
    <row r="20" spans="1:6" x14ac:dyDescent="0.3">
      <c r="A20" s="19" t="s">
        <v>166</v>
      </c>
      <c r="B20" s="19" t="s">
        <v>167</v>
      </c>
      <c r="C20" s="19" t="s">
        <v>62</v>
      </c>
      <c r="D20" s="19" t="s">
        <v>64</v>
      </c>
      <c r="E20" s="19">
        <v>86785</v>
      </c>
      <c r="F20" s="19">
        <v>2016</v>
      </c>
    </row>
    <row r="21" spans="1:6" x14ac:dyDescent="0.3">
      <c r="A21" s="19" t="s">
        <v>168</v>
      </c>
      <c r="B21" s="19" t="s">
        <v>169</v>
      </c>
      <c r="C21" s="19" t="s">
        <v>147</v>
      </c>
      <c r="D21" s="19" t="s">
        <v>65</v>
      </c>
      <c r="E21" s="19">
        <v>59714</v>
      </c>
      <c r="F21" s="19">
        <v>2020</v>
      </c>
    </row>
    <row r="22" spans="1:6" x14ac:dyDescent="0.3">
      <c r="A22" s="19" t="s">
        <v>170</v>
      </c>
      <c r="B22" s="19" t="s">
        <v>171</v>
      </c>
      <c r="C22" s="19" t="s">
        <v>60</v>
      </c>
      <c r="D22" s="19" t="s">
        <v>65</v>
      </c>
      <c r="E22" s="19">
        <v>53283</v>
      </c>
      <c r="F22" s="19">
        <v>2018</v>
      </c>
    </row>
    <row r="23" spans="1:6" x14ac:dyDescent="0.3">
      <c r="A23" s="19" t="s">
        <v>172</v>
      </c>
      <c r="B23" s="19" t="s">
        <v>173</v>
      </c>
      <c r="C23" s="19" t="s">
        <v>61</v>
      </c>
      <c r="D23" s="19" t="s">
        <v>63</v>
      </c>
      <c r="E23" s="19">
        <v>69920</v>
      </c>
      <c r="F23" s="19">
        <v>2017</v>
      </c>
    </row>
    <row r="24" spans="1:6" x14ac:dyDescent="0.3">
      <c r="A24" s="19" t="s">
        <v>174</v>
      </c>
      <c r="B24" s="19" t="s">
        <v>175</v>
      </c>
      <c r="C24" s="19" t="s">
        <v>137</v>
      </c>
      <c r="D24" s="19" t="s">
        <v>64</v>
      </c>
      <c r="E24" s="19">
        <v>40708</v>
      </c>
      <c r="F24" s="19">
        <v>2022</v>
      </c>
    </row>
    <row r="25" spans="1:6" x14ac:dyDescent="0.3">
      <c r="A25" s="19" t="s">
        <v>176</v>
      </c>
      <c r="B25" s="19" t="s">
        <v>177</v>
      </c>
      <c r="C25" s="19" t="s">
        <v>147</v>
      </c>
      <c r="D25" s="19" t="s">
        <v>65</v>
      </c>
      <c r="E25" s="19">
        <v>71943</v>
      </c>
      <c r="F25" s="19">
        <v>2023</v>
      </c>
    </row>
    <row r="26" spans="1:6" x14ac:dyDescent="0.3">
      <c r="A26" s="19" t="s">
        <v>178</v>
      </c>
      <c r="B26" s="19" t="s">
        <v>179</v>
      </c>
      <c r="C26" s="19" t="s">
        <v>60</v>
      </c>
      <c r="D26" s="19" t="s">
        <v>65</v>
      </c>
      <c r="E26" s="19">
        <v>85237</v>
      </c>
      <c r="F26" s="19">
        <v>2015</v>
      </c>
    </row>
    <row r="27" spans="1:6" x14ac:dyDescent="0.3">
      <c r="A27" s="19" t="s">
        <v>180</v>
      </c>
      <c r="B27" s="19" t="s">
        <v>181</v>
      </c>
      <c r="C27" s="19" t="s">
        <v>60</v>
      </c>
      <c r="D27" s="19" t="s">
        <v>63</v>
      </c>
      <c r="E27" s="19">
        <v>82759</v>
      </c>
      <c r="F27" s="19">
        <v>2020</v>
      </c>
    </row>
    <row r="28" spans="1:6" x14ac:dyDescent="0.3">
      <c r="A28" s="19" t="s">
        <v>182</v>
      </c>
      <c r="B28" s="19" t="s">
        <v>183</v>
      </c>
      <c r="C28" s="19" t="s">
        <v>147</v>
      </c>
      <c r="D28" s="19" t="s">
        <v>65</v>
      </c>
      <c r="E28" s="19">
        <v>34337</v>
      </c>
      <c r="F28" s="19">
        <v>2018</v>
      </c>
    </row>
    <row r="29" spans="1:6" x14ac:dyDescent="0.3">
      <c r="A29" s="19" t="s">
        <v>184</v>
      </c>
      <c r="B29" s="19" t="s">
        <v>185</v>
      </c>
      <c r="C29" s="19" t="s">
        <v>137</v>
      </c>
      <c r="D29" s="19" t="s">
        <v>65</v>
      </c>
      <c r="E29" s="19">
        <v>43934</v>
      </c>
      <c r="F29" s="19">
        <v>2022</v>
      </c>
    </row>
    <row r="30" spans="1:6" x14ac:dyDescent="0.3">
      <c r="A30" s="19" t="s">
        <v>186</v>
      </c>
      <c r="B30" s="19" t="s">
        <v>187</v>
      </c>
      <c r="C30" s="19" t="s">
        <v>147</v>
      </c>
      <c r="D30" s="19" t="s">
        <v>188</v>
      </c>
      <c r="E30" s="19">
        <v>39363</v>
      </c>
      <c r="F30" s="19">
        <v>2019</v>
      </c>
    </row>
    <row r="31" spans="1:6" x14ac:dyDescent="0.3">
      <c r="A31" s="19" t="s">
        <v>189</v>
      </c>
      <c r="B31" s="19" t="s">
        <v>190</v>
      </c>
      <c r="C31" s="19" t="s">
        <v>60</v>
      </c>
      <c r="D31" s="19" t="s">
        <v>64</v>
      </c>
      <c r="E31" s="19">
        <v>78823</v>
      </c>
      <c r="F31" s="19">
        <v>2023</v>
      </c>
    </row>
    <row r="32" spans="1:6" x14ac:dyDescent="0.3">
      <c r="A32" s="19" t="s">
        <v>191</v>
      </c>
      <c r="B32" s="19" t="s">
        <v>192</v>
      </c>
      <c r="C32" s="19" t="s">
        <v>137</v>
      </c>
      <c r="D32" s="19" t="s">
        <v>65</v>
      </c>
      <c r="E32" s="19">
        <v>78956</v>
      </c>
      <c r="F32" s="19">
        <v>2024</v>
      </c>
    </row>
    <row r="33" spans="1:6" x14ac:dyDescent="0.3">
      <c r="A33" s="19" t="s">
        <v>193</v>
      </c>
      <c r="B33" s="19" t="s">
        <v>194</v>
      </c>
      <c r="C33" s="19" t="s">
        <v>147</v>
      </c>
      <c r="D33" s="19" t="s">
        <v>142</v>
      </c>
      <c r="E33" s="19">
        <v>56175</v>
      </c>
      <c r="F33" s="19">
        <v>2020</v>
      </c>
    </row>
    <row r="34" spans="1:6" x14ac:dyDescent="0.3">
      <c r="A34" s="19" t="s">
        <v>195</v>
      </c>
      <c r="B34" s="19" t="s">
        <v>196</v>
      </c>
      <c r="C34" s="19" t="s">
        <v>60</v>
      </c>
      <c r="D34" s="19" t="s">
        <v>64</v>
      </c>
      <c r="E34" s="19">
        <v>63392</v>
      </c>
      <c r="F34" s="19">
        <v>2022</v>
      </c>
    </row>
    <row r="35" spans="1:6" x14ac:dyDescent="0.3">
      <c r="A35" s="19" t="s">
        <v>197</v>
      </c>
      <c r="B35" s="19" t="s">
        <v>198</v>
      </c>
      <c r="C35" s="19" t="s">
        <v>62</v>
      </c>
      <c r="D35" s="19" t="s">
        <v>63</v>
      </c>
      <c r="E35" s="19">
        <v>86433</v>
      </c>
      <c r="F35" s="19">
        <v>2016</v>
      </c>
    </row>
    <row r="36" spans="1:6" x14ac:dyDescent="0.3">
      <c r="A36" s="19" t="s">
        <v>199</v>
      </c>
      <c r="B36" s="19" t="s">
        <v>200</v>
      </c>
      <c r="C36" s="19" t="s">
        <v>60</v>
      </c>
      <c r="D36" s="19" t="s">
        <v>64</v>
      </c>
      <c r="E36" s="19">
        <v>81909</v>
      </c>
      <c r="F36" s="19">
        <v>2021</v>
      </c>
    </row>
    <row r="37" spans="1:6" x14ac:dyDescent="0.3">
      <c r="A37" s="19" t="s">
        <v>201</v>
      </c>
      <c r="B37" s="19" t="s">
        <v>202</v>
      </c>
      <c r="C37" s="19" t="s">
        <v>137</v>
      </c>
      <c r="D37" s="19" t="s">
        <v>63</v>
      </c>
      <c r="E37" s="19">
        <v>55216</v>
      </c>
      <c r="F37" s="19">
        <v>2021</v>
      </c>
    </row>
    <row r="38" spans="1:6" x14ac:dyDescent="0.3">
      <c r="A38" s="19" t="s">
        <v>203</v>
      </c>
      <c r="B38" s="19" t="s">
        <v>204</v>
      </c>
      <c r="C38" s="19" t="s">
        <v>137</v>
      </c>
      <c r="D38" s="19" t="s">
        <v>188</v>
      </c>
      <c r="E38" s="19">
        <v>64676</v>
      </c>
      <c r="F38" s="19">
        <v>2019</v>
      </c>
    </row>
    <row r="39" spans="1:6" x14ac:dyDescent="0.3">
      <c r="A39" s="19" t="s">
        <v>205</v>
      </c>
      <c r="B39" s="19" t="s">
        <v>206</v>
      </c>
      <c r="C39" s="19" t="s">
        <v>137</v>
      </c>
      <c r="D39" s="19" t="s">
        <v>63</v>
      </c>
      <c r="E39" s="19">
        <v>74583</v>
      </c>
      <c r="F39" s="19">
        <v>2016</v>
      </c>
    </row>
    <row r="40" spans="1:6" x14ac:dyDescent="0.3">
      <c r="A40" s="19" t="s">
        <v>207</v>
      </c>
      <c r="B40" s="19" t="s">
        <v>208</v>
      </c>
      <c r="C40" s="19" t="s">
        <v>137</v>
      </c>
      <c r="D40" s="19" t="s">
        <v>65</v>
      </c>
      <c r="E40" s="19">
        <v>80370</v>
      </c>
      <c r="F40" s="19">
        <v>2020</v>
      </c>
    </row>
    <row r="41" spans="1:6" x14ac:dyDescent="0.3">
      <c r="A41" s="19" t="s">
        <v>209</v>
      </c>
      <c r="B41" s="19" t="s">
        <v>210</v>
      </c>
      <c r="C41" s="19" t="s">
        <v>62</v>
      </c>
      <c r="D41" s="19" t="s">
        <v>65</v>
      </c>
      <c r="E41" s="19">
        <v>58492</v>
      </c>
      <c r="F41" s="19">
        <v>2017</v>
      </c>
    </row>
    <row r="42" spans="1:6" x14ac:dyDescent="0.3">
      <c r="A42" s="19" t="s">
        <v>211</v>
      </c>
      <c r="B42" s="19" t="s">
        <v>212</v>
      </c>
      <c r="C42" s="19" t="s">
        <v>147</v>
      </c>
      <c r="D42" s="19" t="s">
        <v>63</v>
      </c>
      <c r="E42" s="19">
        <v>77323</v>
      </c>
      <c r="F42" s="19">
        <v>2019</v>
      </c>
    </row>
    <row r="43" spans="1:6" x14ac:dyDescent="0.3">
      <c r="A43" s="19" t="s">
        <v>213</v>
      </c>
      <c r="B43" s="19" t="s">
        <v>214</v>
      </c>
      <c r="C43" s="19" t="s">
        <v>137</v>
      </c>
      <c r="D43" s="19" t="s">
        <v>64</v>
      </c>
      <c r="E43" s="19">
        <v>63271</v>
      </c>
      <c r="F43" s="19">
        <v>2016</v>
      </c>
    </row>
  </sheetData>
  <mergeCells count="1">
    <mergeCell ref="A1:F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241DC-15A7-426D-AB26-867B45F1305C}">
  <dimension ref="A1:E15"/>
  <sheetViews>
    <sheetView topLeftCell="A9" workbookViewId="0">
      <selection activeCell="J1" sqref="J1"/>
    </sheetView>
  </sheetViews>
  <sheetFormatPr defaultRowHeight="14.4" x14ac:dyDescent="0.3"/>
  <cols>
    <col min="1" max="1" width="13.44140625" customWidth="1"/>
    <col min="2" max="2" width="14.5546875" customWidth="1"/>
    <col min="3" max="3" width="13" customWidth="1"/>
    <col min="4" max="4" width="13.5546875" customWidth="1"/>
    <col min="5" max="5" width="12.21875" customWidth="1"/>
  </cols>
  <sheetData>
    <row r="1" spans="1:5" ht="21" x14ac:dyDescent="0.4">
      <c r="A1" s="4" t="s">
        <v>215</v>
      </c>
      <c r="B1" s="21"/>
      <c r="C1" s="21"/>
      <c r="D1" s="21"/>
    </row>
    <row r="3" spans="1:5" x14ac:dyDescent="0.3">
      <c r="A3" t="s">
        <v>216</v>
      </c>
      <c r="B3" t="s">
        <v>217</v>
      </c>
      <c r="C3" t="s">
        <v>47</v>
      </c>
      <c r="D3" t="s">
        <v>48</v>
      </c>
      <c r="E3" t="s">
        <v>129</v>
      </c>
    </row>
    <row r="4" spans="1:5" x14ac:dyDescent="0.3">
      <c r="A4" t="s">
        <v>218</v>
      </c>
      <c r="B4" t="s">
        <v>223</v>
      </c>
      <c r="C4" t="s">
        <v>62</v>
      </c>
      <c r="D4" t="s">
        <v>63</v>
      </c>
      <c r="E4">
        <v>42000</v>
      </c>
    </row>
    <row r="5" spans="1:5" x14ac:dyDescent="0.3">
      <c r="A5" t="s">
        <v>219</v>
      </c>
      <c r="B5" t="s">
        <v>224</v>
      </c>
      <c r="C5" t="s">
        <v>60</v>
      </c>
      <c r="D5" t="s">
        <v>64</v>
      </c>
      <c r="E5">
        <v>65000</v>
      </c>
    </row>
    <row r="6" spans="1:5" x14ac:dyDescent="0.3">
      <c r="A6" t="s">
        <v>220</v>
      </c>
      <c r="B6" t="s">
        <v>225</v>
      </c>
      <c r="C6" t="s">
        <v>61</v>
      </c>
      <c r="D6" t="s">
        <v>63</v>
      </c>
      <c r="E6">
        <v>38000</v>
      </c>
    </row>
    <row r="7" spans="1:5" x14ac:dyDescent="0.3">
      <c r="A7" t="s">
        <v>221</v>
      </c>
      <c r="B7" t="s">
        <v>226</v>
      </c>
      <c r="C7" t="s">
        <v>60</v>
      </c>
      <c r="D7" t="s">
        <v>65</v>
      </c>
      <c r="E7">
        <v>71000</v>
      </c>
    </row>
    <row r="8" spans="1:5" x14ac:dyDescent="0.3">
      <c r="A8" t="s">
        <v>222</v>
      </c>
      <c r="B8" t="s">
        <v>227</v>
      </c>
      <c r="C8" t="s">
        <v>62</v>
      </c>
      <c r="D8" t="s">
        <v>64</v>
      </c>
      <c r="E8">
        <v>45000</v>
      </c>
    </row>
    <row r="11" spans="1:5" x14ac:dyDescent="0.3">
      <c r="A11" s="2" t="s">
        <v>228</v>
      </c>
      <c r="B11" s="8" t="s">
        <v>221</v>
      </c>
    </row>
    <row r="12" spans="1:5" x14ac:dyDescent="0.3">
      <c r="A12" s="2" t="s">
        <v>229</v>
      </c>
      <c r="B12" s="9" t="str">
        <f>VLOOKUP($B$11,$A$4:$E$8,2,FALSE())</f>
        <v xml:space="preserve">Divya Nair </v>
      </c>
    </row>
    <row r="13" spans="1:5" x14ac:dyDescent="0.3">
      <c r="A13" s="2" t="s">
        <v>230</v>
      </c>
      <c r="B13" s="9" t="str">
        <f>VLOOKUP($B$11,$A$4:$E$8,3,FALSE())</f>
        <v>IT</v>
      </c>
    </row>
    <row r="14" spans="1:5" x14ac:dyDescent="0.3">
      <c r="A14" s="2" t="s">
        <v>231</v>
      </c>
      <c r="B14" s="9" t="str">
        <f>VLOOKUP($B$11,$A$4:$E$8,4,FALSE())</f>
        <v>Pune</v>
      </c>
    </row>
    <row r="15" spans="1:5" x14ac:dyDescent="0.3">
      <c r="A15" s="2" t="s">
        <v>232</v>
      </c>
      <c r="B15" s="9">
        <f>VLOOKUP($B$11,$A$4:$E$8,5,FALSE())</f>
        <v>71000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036F4-A9BF-4FC0-8E18-096848C8D289}">
  <dimension ref="A1:G8"/>
  <sheetViews>
    <sheetView topLeftCell="A2" workbookViewId="0">
      <selection sqref="A1:G1"/>
    </sheetView>
  </sheetViews>
  <sheetFormatPr defaultRowHeight="14.4" x14ac:dyDescent="0.3"/>
  <cols>
    <col min="1" max="1" width="14.77734375" customWidth="1"/>
    <col min="2" max="2" width="15.44140625" customWidth="1"/>
    <col min="3" max="3" width="11.21875" customWidth="1"/>
    <col min="4" max="4" width="11.44140625" customWidth="1"/>
  </cols>
  <sheetData>
    <row r="1" spans="1:7" ht="21" x14ac:dyDescent="0.4">
      <c r="A1" s="38" t="s">
        <v>233</v>
      </c>
      <c r="B1" s="38"/>
      <c r="C1" s="38"/>
      <c r="D1" s="38"/>
      <c r="E1" s="38"/>
      <c r="F1" s="38"/>
      <c r="G1" s="38"/>
    </row>
    <row r="3" spans="1:7" x14ac:dyDescent="0.3">
      <c r="A3" t="s">
        <v>234</v>
      </c>
      <c r="B3" t="s">
        <v>235</v>
      </c>
      <c r="C3" t="s">
        <v>236</v>
      </c>
      <c r="D3" t="s">
        <v>237</v>
      </c>
    </row>
    <row r="4" spans="1:7" x14ac:dyDescent="0.3">
      <c r="A4" t="s">
        <v>238</v>
      </c>
      <c r="B4" t="s">
        <v>243</v>
      </c>
      <c r="C4">
        <v>40</v>
      </c>
      <c r="D4">
        <v>500</v>
      </c>
    </row>
    <row r="5" spans="1:7" x14ac:dyDescent="0.3">
      <c r="A5" t="s">
        <v>239</v>
      </c>
      <c r="B5" t="s">
        <v>118</v>
      </c>
      <c r="C5">
        <v>10</v>
      </c>
      <c r="D5">
        <v>1200</v>
      </c>
    </row>
    <row r="6" spans="1:7" x14ac:dyDescent="0.3">
      <c r="A6" t="s">
        <v>240</v>
      </c>
      <c r="B6" t="s">
        <v>119</v>
      </c>
      <c r="C6">
        <v>750</v>
      </c>
      <c r="D6">
        <v>80</v>
      </c>
    </row>
    <row r="7" spans="1:7" x14ac:dyDescent="0.3">
      <c r="A7" t="s">
        <v>241</v>
      </c>
      <c r="B7" t="s">
        <v>244</v>
      </c>
      <c r="C7">
        <v>150</v>
      </c>
      <c r="D7">
        <v>300</v>
      </c>
    </row>
    <row r="8" spans="1:7" x14ac:dyDescent="0.3">
      <c r="A8" t="s">
        <v>242</v>
      </c>
      <c r="B8" t="s">
        <v>120</v>
      </c>
      <c r="C8">
        <v>450</v>
      </c>
      <c r="D8">
        <v>150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33D69-1256-458B-BE96-9CF09B037723}">
  <dimension ref="A1:G11"/>
  <sheetViews>
    <sheetView topLeftCell="A3" workbookViewId="0">
      <selection activeCell="D12" sqref="D12"/>
    </sheetView>
  </sheetViews>
  <sheetFormatPr defaultRowHeight="14.4" x14ac:dyDescent="0.3"/>
  <cols>
    <col min="1" max="1" width="16.33203125" customWidth="1"/>
    <col min="2" max="2" width="15.44140625" customWidth="1"/>
  </cols>
  <sheetData>
    <row r="1" spans="1:7" ht="21" x14ac:dyDescent="0.4">
      <c r="A1" s="38" t="s">
        <v>245</v>
      </c>
      <c r="B1" s="38"/>
      <c r="C1" s="38"/>
      <c r="D1" s="38"/>
      <c r="E1" s="38"/>
      <c r="F1" s="38"/>
      <c r="G1" s="38"/>
    </row>
    <row r="3" spans="1:7" x14ac:dyDescent="0.3">
      <c r="A3" t="s">
        <v>234</v>
      </c>
      <c r="B3" t="s">
        <v>246</v>
      </c>
    </row>
    <row r="4" spans="1:7" x14ac:dyDescent="0.3">
      <c r="A4" t="s">
        <v>238</v>
      </c>
      <c r="B4" t="s">
        <v>34</v>
      </c>
    </row>
    <row r="5" spans="1:7" x14ac:dyDescent="0.3">
      <c r="A5" t="s">
        <v>239</v>
      </c>
      <c r="B5" t="s">
        <v>118</v>
      </c>
    </row>
    <row r="6" spans="1:7" x14ac:dyDescent="0.3">
      <c r="A6" t="s">
        <v>240</v>
      </c>
      <c r="B6" t="s">
        <v>119</v>
      </c>
    </row>
    <row r="8" spans="1:7" x14ac:dyDescent="0.3">
      <c r="A8" s="2" t="s">
        <v>247</v>
      </c>
      <c r="B8" t="s">
        <v>248</v>
      </c>
    </row>
    <row r="10" spans="1:7" x14ac:dyDescent="0.3">
      <c r="A10" t="s">
        <v>249</v>
      </c>
      <c r="D10" t="e">
        <f>VLOOKUP(B8,Table19[],2,FALSE())</f>
        <v>#N/A</v>
      </c>
    </row>
    <row r="11" spans="1:7" x14ac:dyDescent="0.3">
      <c r="A11" t="s">
        <v>250</v>
      </c>
      <c r="D11" t="str">
        <f>IFERROR(VLOOKUP(B8,Table19[],2,FALSE()),"Product not Found")</f>
        <v>Product not Found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51CAC-B181-472E-93A9-612280117E63}">
  <dimension ref="A1:G14"/>
  <sheetViews>
    <sheetView topLeftCell="A6" workbookViewId="0">
      <selection activeCell="E14" sqref="E14"/>
    </sheetView>
  </sheetViews>
  <sheetFormatPr defaultRowHeight="14.4" x14ac:dyDescent="0.3"/>
  <sheetData>
    <row r="1" spans="1:7" ht="17.399999999999999" x14ac:dyDescent="0.3">
      <c r="A1" s="40" t="s">
        <v>251</v>
      </c>
      <c r="B1" s="40"/>
      <c r="C1" s="40"/>
      <c r="D1" s="40"/>
      <c r="E1" s="40"/>
      <c r="F1" s="40"/>
      <c r="G1" s="40"/>
    </row>
    <row r="4" spans="1:7" x14ac:dyDescent="0.3">
      <c r="A4" s="18" t="s">
        <v>252</v>
      </c>
      <c r="B4" s="18" t="s">
        <v>253</v>
      </c>
      <c r="C4" s="18" t="s">
        <v>254</v>
      </c>
      <c r="D4" s="18" t="s">
        <v>255</v>
      </c>
      <c r="E4" s="18" t="s">
        <v>256</v>
      </c>
      <c r="F4" s="18" t="s">
        <v>20</v>
      </c>
      <c r="G4" s="18" t="s">
        <v>257</v>
      </c>
    </row>
    <row r="5" spans="1:7" x14ac:dyDescent="0.3">
      <c r="A5" s="19" t="s">
        <v>258</v>
      </c>
      <c r="B5" s="19">
        <v>42000</v>
      </c>
      <c r="C5" s="19">
        <v>45000</v>
      </c>
      <c r="D5" s="19">
        <v>39000</v>
      </c>
      <c r="E5" s="19">
        <v>51000</v>
      </c>
      <c r="F5" s="19">
        <v>47000</v>
      </c>
      <c r="G5" s="19">
        <v>53000</v>
      </c>
    </row>
    <row r="6" spans="1:7" x14ac:dyDescent="0.3">
      <c r="A6" s="19" t="s">
        <v>259</v>
      </c>
      <c r="B6" s="19">
        <v>38000</v>
      </c>
      <c r="C6" s="19">
        <v>41000</v>
      </c>
      <c r="D6" s="19">
        <v>44000</v>
      </c>
      <c r="E6" s="19">
        <v>40000</v>
      </c>
      <c r="F6" s="19">
        <v>46000</v>
      </c>
      <c r="G6" s="19">
        <v>49000</v>
      </c>
    </row>
    <row r="7" spans="1:7" x14ac:dyDescent="0.3">
      <c r="A7" s="19" t="s">
        <v>260</v>
      </c>
      <c r="B7" s="19">
        <v>55000</v>
      </c>
      <c r="C7" s="19">
        <v>58000</v>
      </c>
      <c r="D7" s="19">
        <v>52000</v>
      </c>
      <c r="E7" s="19">
        <v>60000</v>
      </c>
      <c r="F7" s="19">
        <v>57000</v>
      </c>
      <c r="G7" s="19">
        <v>62000</v>
      </c>
    </row>
    <row r="8" spans="1:7" x14ac:dyDescent="0.3">
      <c r="A8" s="19" t="s">
        <v>261</v>
      </c>
      <c r="B8" s="19">
        <v>30000</v>
      </c>
      <c r="C8" s="19">
        <v>33000</v>
      </c>
      <c r="D8" s="19">
        <v>31000</v>
      </c>
      <c r="E8" s="19">
        <v>35000</v>
      </c>
      <c r="F8" s="19">
        <v>34000</v>
      </c>
      <c r="G8" s="19">
        <v>37000</v>
      </c>
    </row>
    <row r="10" spans="1:7" x14ac:dyDescent="0.3">
      <c r="A10" s="2" t="s">
        <v>263</v>
      </c>
      <c r="C10" t="s">
        <v>264</v>
      </c>
    </row>
    <row r="11" spans="1:7" x14ac:dyDescent="0.3">
      <c r="A11" s="22" t="s">
        <v>265</v>
      </c>
      <c r="C11" t="s">
        <v>266</v>
      </c>
    </row>
    <row r="12" spans="1:7" x14ac:dyDescent="0.3">
      <c r="A12" s="2"/>
    </row>
    <row r="14" spans="1:7" x14ac:dyDescent="0.3">
      <c r="A14" s="2" t="s">
        <v>262</v>
      </c>
      <c r="E14" t="e">
        <f>INDEX(A5:G8,MATCH(B10,A5:A8,0),MATCH(B11,A4:G4,0))</f>
        <v>#N/A</v>
      </c>
    </row>
  </sheetData>
  <mergeCells count="1">
    <mergeCell ref="A1:G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294F3-738A-45EE-962E-0AB1109E86C9}">
  <dimension ref="A1:F15"/>
  <sheetViews>
    <sheetView topLeftCell="A8" workbookViewId="0">
      <selection activeCell="D16" sqref="D16"/>
    </sheetView>
  </sheetViews>
  <sheetFormatPr defaultRowHeight="14.4" x14ac:dyDescent="0.3"/>
  <cols>
    <col min="2" max="4" width="17.33203125" customWidth="1"/>
  </cols>
  <sheetData>
    <row r="1" spans="1:6" ht="17.399999999999999" x14ac:dyDescent="0.3">
      <c r="A1" s="40" t="s">
        <v>267</v>
      </c>
      <c r="B1" s="40"/>
      <c r="C1" s="40"/>
      <c r="D1" s="40"/>
      <c r="E1" s="40"/>
      <c r="F1" s="40"/>
    </row>
    <row r="3" spans="1:6" ht="27.6" x14ac:dyDescent="0.3">
      <c r="A3" s="18" t="s">
        <v>114</v>
      </c>
      <c r="B3" s="18" t="s">
        <v>268</v>
      </c>
      <c r="C3" s="18" t="s">
        <v>269</v>
      </c>
      <c r="D3" s="18" t="s">
        <v>236</v>
      </c>
      <c r="E3" s="23"/>
      <c r="F3" s="23"/>
    </row>
    <row r="4" spans="1:6" x14ac:dyDescent="0.3">
      <c r="A4" s="19" t="s">
        <v>270</v>
      </c>
      <c r="B4" s="19" t="s">
        <v>271</v>
      </c>
      <c r="C4" s="26" t="str">
        <f>A4&amp;"-"&amp;B4</f>
        <v>T-Shirt-S</v>
      </c>
      <c r="D4" s="19">
        <v>399</v>
      </c>
      <c r="E4" s="23"/>
      <c r="F4" s="23"/>
    </row>
    <row r="5" spans="1:6" x14ac:dyDescent="0.3">
      <c r="A5" s="19" t="s">
        <v>270</v>
      </c>
      <c r="B5" s="19" t="s">
        <v>272</v>
      </c>
      <c r="C5" s="26" t="str">
        <f t="shared" ref="C5:C9" si="0">A5&amp;"-"&amp;B5</f>
        <v>T-Shirt-M</v>
      </c>
      <c r="D5" s="19">
        <v>429</v>
      </c>
      <c r="E5" s="23"/>
      <c r="F5" s="23"/>
    </row>
    <row r="6" spans="1:6" x14ac:dyDescent="0.3">
      <c r="A6" s="19" t="s">
        <v>270</v>
      </c>
      <c r="B6" s="19" t="s">
        <v>273</v>
      </c>
      <c r="C6" s="26" t="str">
        <f t="shared" si="0"/>
        <v>T-Shirt-L</v>
      </c>
      <c r="D6" s="19">
        <v>449</v>
      </c>
      <c r="E6" s="23"/>
      <c r="F6" s="23"/>
    </row>
    <row r="7" spans="1:6" x14ac:dyDescent="0.3">
      <c r="A7" s="19" t="s">
        <v>274</v>
      </c>
      <c r="B7" s="19" t="s">
        <v>271</v>
      </c>
      <c r="C7" s="26" t="str">
        <f t="shared" si="0"/>
        <v>Jeans-S</v>
      </c>
      <c r="D7" s="19">
        <v>799</v>
      </c>
      <c r="E7" s="23"/>
      <c r="F7" s="23"/>
    </row>
    <row r="8" spans="1:6" x14ac:dyDescent="0.3">
      <c r="A8" s="19" t="s">
        <v>274</v>
      </c>
      <c r="B8" s="19" t="s">
        <v>272</v>
      </c>
      <c r="C8" s="26" t="str">
        <f t="shared" si="0"/>
        <v>Jeans-M</v>
      </c>
      <c r="D8" s="19">
        <v>849</v>
      </c>
      <c r="E8" s="23"/>
      <c r="F8" s="23"/>
    </row>
    <row r="9" spans="1:6" x14ac:dyDescent="0.3">
      <c r="A9" s="19" t="s">
        <v>274</v>
      </c>
      <c r="B9" s="19" t="s">
        <v>273</v>
      </c>
      <c r="C9" s="26" t="str">
        <f t="shared" si="0"/>
        <v>Jeans-L</v>
      </c>
      <c r="D9" s="19">
        <v>899</v>
      </c>
      <c r="E9" s="23"/>
      <c r="F9" s="23"/>
    </row>
    <row r="12" spans="1:6" x14ac:dyDescent="0.3">
      <c r="A12" s="22" t="s">
        <v>275</v>
      </c>
      <c r="B12" s="24" t="s">
        <v>274</v>
      </c>
      <c r="C12" s="23"/>
      <c r="D12" s="23"/>
      <c r="E12" s="23"/>
      <c r="F12" s="23"/>
    </row>
    <row r="13" spans="1:6" x14ac:dyDescent="0.3">
      <c r="A13" s="22" t="s">
        <v>276</v>
      </c>
      <c r="B13" s="24" t="s">
        <v>272</v>
      </c>
      <c r="C13" s="23"/>
      <c r="D13" s="23"/>
      <c r="E13" s="23"/>
      <c r="F13" s="23"/>
    </row>
    <row r="15" spans="1:6" x14ac:dyDescent="0.3">
      <c r="A15" s="41" t="s">
        <v>277</v>
      </c>
      <c r="B15" s="41"/>
      <c r="C15" s="41"/>
      <c r="D15" s="25">
        <f>INDEX(D4:D9,MATCH(B12&amp;"-"&amp;B13,C4:C9,0))</f>
        <v>849</v>
      </c>
      <c r="E15" s="23"/>
      <c r="F15" s="23"/>
    </row>
  </sheetData>
  <mergeCells count="2">
    <mergeCell ref="A1:F1"/>
    <mergeCell ref="A15:C1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D3C59-166F-4AEC-AE06-1A033E6FC229}">
  <dimension ref="A1:F14"/>
  <sheetViews>
    <sheetView topLeftCell="A9" workbookViewId="0">
      <selection activeCell="C14" sqref="C14"/>
    </sheetView>
  </sheetViews>
  <sheetFormatPr defaultRowHeight="14.4" x14ac:dyDescent="0.3"/>
  <cols>
    <col min="1" max="1" width="15" customWidth="1"/>
    <col min="2" max="2" width="18" customWidth="1"/>
    <col min="3" max="3" width="17.5546875" customWidth="1"/>
    <col min="4" max="4" width="17.88671875" customWidth="1"/>
    <col min="5" max="5" width="12.77734375" customWidth="1"/>
  </cols>
  <sheetData>
    <row r="1" spans="1:6" ht="17.399999999999999" x14ac:dyDescent="0.3">
      <c r="A1" s="40" t="s">
        <v>278</v>
      </c>
      <c r="B1" s="40"/>
      <c r="C1" s="40"/>
      <c r="D1" s="40"/>
      <c r="E1" s="40"/>
      <c r="F1" s="40"/>
    </row>
    <row r="3" spans="1:6" x14ac:dyDescent="0.3">
      <c r="A3" s="18" t="s">
        <v>128</v>
      </c>
      <c r="B3" s="18" t="s">
        <v>68</v>
      </c>
      <c r="C3" s="18" t="s">
        <v>47</v>
      </c>
      <c r="D3" s="18" t="s">
        <v>48</v>
      </c>
      <c r="E3" s="18" t="s">
        <v>129</v>
      </c>
      <c r="F3" s="23"/>
    </row>
    <row r="4" spans="1:6" x14ac:dyDescent="0.3">
      <c r="A4" s="19" t="s">
        <v>218</v>
      </c>
      <c r="B4" s="19" t="s">
        <v>279</v>
      </c>
      <c r="C4" s="19" t="s">
        <v>62</v>
      </c>
      <c r="D4" s="19" t="s">
        <v>63</v>
      </c>
      <c r="E4" s="19">
        <v>42000</v>
      </c>
      <c r="F4" s="23"/>
    </row>
    <row r="5" spans="1:6" x14ac:dyDescent="0.3">
      <c r="A5" s="19" t="s">
        <v>219</v>
      </c>
      <c r="B5" s="19" t="s">
        <v>280</v>
      </c>
      <c r="C5" s="19" t="s">
        <v>60</v>
      </c>
      <c r="D5" s="19" t="s">
        <v>64</v>
      </c>
      <c r="E5" s="19">
        <v>65000</v>
      </c>
      <c r="F5" s="23"/>
    </row>
    <row r="6" spans="1:6" x14ac:dyDescent="0.3">
      <c r="A6" s="19" t="s">
        <v>220</v>
      </c>
      <c r="B6" s="19" t="s">
        <v>225</v>
      </c>
      <c r="C6" s="19" t="s">
        <v>61</v>
      </c>
      <c r="D6" s="19" t="s">
        <v>63</v>
      </c>
      <c r="E6" s="19">
        <v>38000</v>
      </c>
      <c r="F6" s="23"/>
    </row>
    <row r="7" spans="1:6" x14ac:dyDescent="0.3">
      <c r="A7" s="19" t="s">
        <v>221</v>
      </c>
      <c r="B7" s="19" t="s">
        <v>281</v>
      </c>
      <c r="C7" s="19" t="s">
        <v>60</v>
      </c>
      <c r="D7" s="19" t="s">
        <v>65</v>
      </c>
      <c r="E7" s="19">
        <v>71000</v>
      </c>
      <c r="F7" s="23"/>
    </row>
    <row r="8" spans="1:6" x14ac:dyDescent="0.3">
      <c r="A8" s="19" t="s">
        <v>222</v>
      </c>
      <c r="B8" s="19" t="s">
        <v>227</v>
      </c>
      <c r="C8" s="19" t="s">
        <v>62</v>
      </c>
      <c r="D8" s="19" t="s">
        <v>64</v>
      </c>
      <c r="E8" s="19">
        <v>45000</v>
      </c>
      <c r="F8" s="23"/>
    </row>
    <row r="11" spans="1:6" x14ac:dyDescent="0.3">
      <c r="A11" s="22" t="s">
        <v>228</v>
      </c>
      <c r="B11" s="24" t="s">
        <v>219</v>
      </c>
      <c r="C11" s="23"/>
      <c r="D11" s="23"/>
      <c r="E11" s="23"/>
      <c r="F11" s="23"/>
    </row>
    <row r="12" spans="1:6" x14ac:dyDescent="0.3">
      <c r="A12" s="22" t="s">
        <v>282</v>
      </c>
      <c r="B12" s="24" t="s">
        <v>129</v>
      </c>
      <c r="C12" s="23"/>
      <c r="D12" s="23"/>
      <c r="E12" s="23"/>
      <c r="F12" s="23"/>
    </row>
    <row r="14" spans="1:6" x14ac:dyDescent="0.3">
      <c r="A14" s="41" t="s">
        <v>283</v>
      </c>
      <c r="B14" s="41"/>
      <c r="C14" s="25">
        <f>VLOOKUP(B11,A4:E8,MATCH(B12,A3:E3,0),FALSE())</f>
        <v>65000</v>
      </c>
      <c r="D14" s="23"/>
      <c r="E14" s="23"/>
      <c r="F14" s="23"/>
    </row>
  </sheetData>
  <mergeCells count="2">
    <mergeCell ref="A1:F1"/>
    <mergeCell ref="A14:B1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AA1D3-8160-4FBE-AAA0-AEE79909065F}">
  <dimension ref="A1:D12"/>
  <sheetViews>
    <sheetView topLeftCell="A6" workbookViewId="0">
      <selection activeCell="C13" sqref="C13"/>
    </sheetView>
  </sheetViews>
  <sheetFormatPr defaultRowHeight="14.4" x14ac:dyDescent="0.3"/>
  <cols>
    <col min="1" max="1" width="31.5546875" customWidth="1"/>
    <col min="2" max="2" width="27.6640625" customWidth="1"/>
  </cols>
  <sheetData>
    <row r="1" spans="1:4" ht="17.399999999999999" x14ac:dyDescent="0.3">
      <c r="A1" s="20" t="s">
        <v>284</v>
      </c>
      <c r="B1" s="20"/>
      <c r="C1" s="20"/>
      <c r="D1" s="20"/>
    </row>
    <row r="3" spans="1:4" ht="27.6" customHeight="1" x14ac:dyDescent="0.3">
      <c r="A3" s="18" t="s">
        <v>285</v>
      </c>
      <c r="B3" s="18" t="s">
        <v>48</v>
      </c>
      <c r="C3" s="23"/>
      <c r="D3" s="23"/>
    </row>
    <row r="4" spans="1:4" x14ac:dyDescent="0.3">
      <c r="A4" s="19" t="s">
        <v>286</v>
      </c>
      <c r="B4" s="19" t="s">
        <v>63</v>
      </c>
      <c r="C4" s="23"/>
      <c r="D4" s="23"/>
    </row>
    <row r="5" spans="1:4" x14ac:dyDescent="0.3">
      <c r="A5" s="19" t="s">
        <v>287</v>
      </c>
      <c r="B5" s="19" t="s">
        <v>64</v>
      </c>
      <c r="C5" s="23"/>
      <c r="D5" s="23"/>
    </row>
    <row r="6" spans="1:4" x14ac:dyDescent="0.3">
      <c r="A6" s="19" t="s">
        <v>288</v>
      </c>
      <c r="B6" s="19" t="s">
        <v>65</v>
      </c>
      <c r="C6" s="23"/>
      <c r="D6" s="23"/>
    </row>
    <row r="7" spans="1:4" x14ac:dyDescent="0.3">
      <c r="A7" s="19" t="s">
        <v>289</v>
      </c>
      <c r="B7" s="19" t="s">
        <v>142</v>
      </c>
      <c r="C7" s="23"/>
      <c r="D7" s="23"/>
    </row>
    <row r="10" spans="1:4" x14ac:dyDescent="0.3">
      <c r="A10" s="22" t="s">
        <v>290</v>
      </c>
      <c r="B10" s="24" t="s">
        <v>291</v>
      </c>
      <c r="C10" s="23"/>
      <c r="D10" s="23"/>
    </row>
    <row r="12" spans="1:4" x14ac:dyDescent="0.3">
      <c r="A12" s="42" t="s">
        <v>292</v>
      </c>
      <c r="B12" s="42"/>
      <c r="C12" s="25" t="str">
        <f>VLOOKUP("*"&amp;B10&amp;"*",A4:B7,2,FALSE())</f>
        <v>Pune</v>
      </c>
      <c r="D12" s="23"/>
    </row>
  </sheetData>
  <mergeCells count="1">
    <mergeCell ref="A12:B1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5FAF0-1284-47C3-A2D1-D68B14FA81FC}">
  <dimension ref="A1:E14"/>
  <sheetViews>
    <sheetView topLeftCell="A6" workbookViewId="0">
      <selection activeCell="F14" sqref="F14"/>
    </sheetView>
  </sheetViews>
  <sheetFormatPr defaultRowHeight="14.4" x14ac:dyDescent="0.3"/>
  <cols>
    <col min="1" max="1" width="21.77734375" customWidth="1"/>
    <col min="2" max="2" width="19.77734375" customWidth="1"/>
    <col min="3" max="3" width="13.88671875" customWidth="1"/>
  </cols>
  <sheetData>
    <row r="1" spans="1:5" ht="17.399999999999999" x14ac:dyDescent="0.3">
      <c r="A1" s="20" t="s">
        <v>293</v>
      </c>
      <c r="B1" s="20"/>
      <c r="C1" s="20"/>
      <c r="D1" s="20"/>
      <c r="E1" s="20"/>
    </row>
    <row r="3" spans="1:5" ht="27.6" x14ac:dyDescent="0.3">
      <c r="A3" s="18" t="s">
        <v>246</v>
      </c>
      <c r="B3" s="18" t="s">
        <v>294</v>
      </c>
      <c r="C3" s="18" t="s">
        <v>295</v>
      </c>
      <c r="D3" s="23"/>
      <c r="E3" s="23"/>
    </row>
    <row r="4" spans="1:5" x14ac:dyDescent="0.3">
      <c r="A4" s="19" t="s">
        <v>34</v>
      </c>
      <c r="B4" s="19" t="s">
        <v>296</v>
      </c>
      <c r="C4" s="19" t="s">
        <v>297</v>
      </c>
      <c r="D4" s="23"/>
      <c r="E4" s="23"/>
    </row>
    <row r="5" spans="1:5" x14ac:dyDescent="0.3">
      <c r="A5" s="19" t="s">
        <v>118</v>
      </c>
      <c r="B5" s="19" t="s">
        <v>296</v>
      </c>
      <c r="C5" s="19" t="s">
        <v>298</v>
      </c>
      <c r="D5" s="23"/>
      <c r="E5" s="23"/>
    </row>
    <row r="6" spans="1:5" x14ac:dyDescent="0.3">
      <c r="A6" s="19" t="s">
        <v>119</v>
      </c>
      <c r="B6" s="19" t="s">
        <v>299</v>
      </c>
      <c r="C6" s="19" t="s">
        <v>300</v>
      </c>
      <c r="D6" s="23"/>
      <c r="E6" s="23"/>
    </row>
    <row r="7" spans="1:5" x14ac:dyDescent="0.3">
      <c r="A7" s="19" t="s">
        <v>244</v>
      </c>
      <c r="B7" s="19" t="s">
        <v>299</v>
      </c>
      <c r="C7" s="19" t="s">
        <v>301</v>
      </c>
      <c r="D7" s="23"/>
      <c r="E7" s="23"/>
    </row>
    <row r="8" spans="1:5" x14ac:dyDescent="0.3">
      <c r="A8" s="19" t="s">
        <v>120</v>
      </c>
      <c r="B8" s="19" t="s">
        <v>302</v>
      </c>
      <c r="C8" s="19" t="s">
        <v>303</v>
      </c>
      <c r="D8" s="23"/>
      <c r="E8" s="23"/>
    </row>
    <row r="11" spans="1:5" x14ac:dyDescent="0.3">
      <c r="A11" s="22" t="s">
        <v>304</v>
      </c>
      <c r="B11" s="27" t="s">
        <v>119</v>
      </c>
      <c r="C11" s="23"/>
      <c r="D11" s="23"/>
      <c r="E11" s="23"/>
    </row>
    <row r="12" spans="1:5" x14ac:dyDescent="0.3">
      <c r="A12" s="22" t="s">
        <v>305</v>
      </c>
      <c r="B12" s="27" t="s">
        <v>300</v>
      </c>
      <c r="C12" s="23"/>
      <c r="D12" s="23"/>
      <c r="E12" s="23"/>
    </row>
    <row r="13" spans="1:5" x14ac:dyDescent="0.3">
      <c r="A13" s="28" t="s">
        <v>306</v>
      </c>
      <c r="D13" s="31" t="e">
        <f>VLOOKUP(B12,A4:C8,1,FALSE())</f>
        <v>#N/A</v>
      </c>
    </row>
    <row r="14" spans="1:5" x14ac:dyDescent="0.3">
      <c r="A14" s="29" t="s">
        <v>307</v>
      </c>
      <c r="D14" s="30" t="str">
        <f>INDEX(A4:A8,MATCH(B12,C4:C8,0))</f>
        <v>Backpack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27CFC-C4EA-444A-B50F-53BD33B8B10B}">
  <dimension ref="A1:F16"/>
  <sheetViews>
    <sheetView workbookViewId="0">
      <selection activeCell="D17" sqref="D17"/>
    </sheetView>
  </sheetViews>
  <sheetFormatPr defaultRowHeight="14.4" x14ac:dyDescent="0.3"/>
  <cols>
    <col min="1" max="1" width="13.33203125" customWidth="1"/>
    <col min="2" max="6" width="16.88671875" customWidth="1"/>
  </cols>
  <sheetData>
    <row r="1" spans="1:6" ht="17.399999999999999" x14ac:dyDescent="0.3">
      <c r="A1" s="40" t="s">
        <v>308</v>
      </c>
      <c r="B1" s="40"/>
      <c r="C1" s="40"/>
      <c r="D1" s="40"/>
      <c r="E1" s="40"/>
      <c r="F1" s="40"/>
    </row>
    <row r="3" spans="1:6" x14ac:dyDescent="0.3">
      <c r="A3" s="37" t="s">
        <v>309</v>
      </c>
      <c r="B3" s="37"/>
      <c r="C3" s="23"/>
      <c r="D3" s="37" t="s">
        <v>310</v>
      </c>
      <c r="E3" s="37"/>
      <c r="F3" s="37"/>
    </row>
    <row r="4" spans="1:6" x14ac:dyDescent="0.3">
      <c r="A4" s="18" t="s">
        <v>295</v>
      </c>
      <c r="B4" s="18" t="s">
        <v>311</v>
      </c>
      <c r="C4" s="23"/>
      <c r="D4" s="18" t="s">
        <v>295</v>
      </c>
      <c r="E4" s="18" t="s">
        <v>294</v>
      </c>
      <c r="F4" s="18" t="s">
        <v>311</v>
      </c>
    </row>
    <row r="5" spans="1:6" x14ac:dyDescent="0.3">
      <c r="A5" s="19" t="s">
        <v>297</v>
      </c>
      <c r="B5" s="19">
        <v>40</v>
      </c>
      <c r="C5" s="23"/>
      <c r="D5" s="19" t="s">
        <v>297</v>
      </c>
      <c r="E5" s="19" t="s">
        <v>296</v>
      </c>
      <c r="F5" s="19">
        <v>40</v>
      </c>
    </row>
    <row r="6" spans="1:6" x14ac:dyDescent="0.3">
      <c r="A6" s="19" t="s">
        <v>298</v>
      </c>
      <c r="B6" s="19">
        <v>10</v>
      </c>
      <c r="C6" s="23"/>
      <c r="D6" s="19" t="s">
        <v>298</v>
      </c>
      <c r="E6" s="19" t="s">
        <v>296</v>
      </c>
      <c r="F6" s="19">
        <v>10</v>
      </c>
    </row>
    <row r="7" spans="1:6" x14ac:dyDescent="0.3">
      <c r="A7" s="19" t="s">
        <v>300</v>
      </c>
      <c r="B7" s="19">
        <v>750</v>
      </c>
      <c r="C7" s="23"/>
      <c r="D7" s="19" t="s">
        <v>300</v>
      </c>
      <c r="E7" s="19" t="s">
        <v>299</v>
      </c>
      <c r="F7" s="19">
        <v>750</v>
      </c>
    </row>
    <row r="8" spans="1:6" x14ac:dyDescent="0.3">
      <c r="A8" s="19" t="s">
        <v>301</v>
      </c>
      <c r="B8" s="19">
        <v>150</v>
      </c>
      <c r="C8" s="23"/>
      <c r="D8" s="19" t="s">
        <v>301</v>
      </c>
      <c r="E8" s="19" t="s">
        <v>299</v>
      </c>
      <c r="F8" s="19">
        <v>150</v>
      </c>
    </row>
    <row r="9" spans="1:6" x14ac:dyDescent="0.3">
      <c r="A9" s="19" t="s">
        <v>303</v>
      </c>
      <c r="B9" s="19">
        <v>450</v>
      </c>
      <c r="C9" s="23"/>
      <c r="D9" s="19" t="s">
        <v>303</v>
      </c>
      <c r="E9" s="19" t="s">
        <v>302</v>
      </c>
      <c r="F9" s="19">
        <v>450</v>
      </c>
    </row>
    <row r="12" spans="1:6" x14ac:dyDescent="0.3">
      <c r="A12" s="22" t="s">
        <v>305</v>
      </c>
      <c r="B12" s="27" t="s">
        <v>300</v>
      </c>
      <c r="C12" s="23"/>
      <c r="D12" s="23"/>
      <c r="E12" s="23"/>
      <c r="F12" s="23"/>
    </row>
    <row r="14" spans="1:6" x14ac:dyDescent="0.3">
      <c r="A14" s="45" t="s">
        <v>312</v>
      </c>
      <c r="B14" s="45"/>
      <c r="C14" s="45"/>
      <c r="D14" s="32" t="s">
        <v>299</v>
      </c>
      <c r="E14" s="23"/>
      <c r="F14" s="23"/>
    </row>
    <row r="15" spans="1:6" x14ac:dyDescent="0.3">
      <c r="A15" s="43" t="s">
        <v>313</v>
      </c>
      <c r="B15" s="43"/>
      <c r="C15" s="43"/>
      <c r="D15" s="34">
        <f>VLOOKUP(B12,D5:F9,3,FALSE())</f>
        <v>750</v>
      </c>
      <c r="E15" s="23"/>
      <c r="F15" s="23"/>
    </row>
    <row r="16" spans="1:6" x14ac:dyDescent="0.3">
      <c r="A16" s="44" t="s">
        <v>314</v>
      </c>
      <c r="B16" s="44"/>
      <c r="C16" s="44"/>
      <c r="D16" s="33">
        <f>INDEX(F5:F9,MATCH(B12,D5:D9,0))</f>
        <v>750</v>
      </c>
      <c r="E16" s="23"/>
      <c r="F16" s="23"/>
    </row>
  </sheetData>
  <mergeCells count="6">
    <mergeCell ref="A15:C15"/>
    <mergeCell ref="A16:C16"/>
    <mergeCell ref="A1:F1"/>
    <mergeCell ref="A3:B3"/>
    <mergeCell ref="D3:F3"/>
    <mergeCell ref="A14:C1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1EDCE-0156-48DE-BFB8-31FAD77E7193}">
  <dimension ref="A1:E14"/>
  <sheetViews>
    <sheetView topLeftCell="A13" workbookViewId="0">
      <selection activeCell="D15" sqref="D15"/>
    </sheetView>
  </sheetViews>
  <sheetFormatPr defaultRowHeight="14.4" x14ac:dyDescent="0.3"/>
  <cols>
    <col min="1" max="1" width="19.5546875" customWidth="1"/>
    <col min="2" max="2" width="23" customWidth="1"/>
  </cols>
  <sheetData>
    <row r="1" spans="1:5" ht="17.399999999999999" x14ac:dyDescent="0.3">
      <c r="A1" s="40" t="s">
        <v>315</v>
      </c>
      <c r="B1" s="40"/>
      <c r="C1" s="40"/>
      <c r="D1" s="40"/>
      <c r="E1" s="40"/>
    </row>
    <row r="3" spans="1:5" x14ac:dyDescent="0.3">
      <c r="A3" s="18" t="s">
        <v>316</v>
      </c>
      <c r="B3" s="18" t="s">
        <v>317</v>
      </c>
      <c r="C3" s="23"/>
      <c r="D3" s="23"/>
      <c r="E3" s="23"/>
    </row>
    <row r="4" spans="1:5" x14ac:dyDescent="0.3">
      <c r="A4" s="19">
        <v>0</v>
      </c>
      <c r="B4" s="19" t="s">
        <v>318</v>
      </c>
      <c r="C4" s="23"/>
      <c r="D4" s="23"/>
      <c r="E4" s="23"/>
    </row>
    <row r="5" spans="1:5" x14ac:dyDescent="0.3">
      <c r="A5" s="19">
        <v>35</v>
      </c>
      <c r="B5" s="19" t="s">
        <v>319</v>
      </c>
      <c r="C5" s="23"/>
      <c r="D5" s="23"/>
      <c r="E5" s="23"/>
    </row>
    <row r="6" spans="1:5" x14ac:dyDescent="0.3">
      <c r="A6" s="19">
        <v>50</v>
      </c>
      <c r="B6" s="19" t="s">
        <v>320</v>
      </c>
      <c r="C6" s="23"/>
      <c r="D6" s="23"/>
      <c r="E6" s="23"/>
    </row>
    <row r="7" spans="1:5" x14ac:dyDescent="0.3">
      <c r="A7" s="19">
        <v>75</v>
      </c>
      <c r="B7" s="19" t="s">
        <v>321</v>
      </c>
      <c r="C7" s="23"/>
      <c r="D7" s="23"/>
      <c r="E7" s="23"/>
    </row>
    <row r="8" spans="1:5" x14ac:dyDescent="0.3">
      <c r="A8" s="19">
        <v>90</v>
      </c>
      <c r="B8" s="19" t="s">
        <v>322</v>
      </c>
      <c r="C8" s="23"/>
      <c r="D8" s="23"/>
      <c r="E8" s="23"/>
    </row>
    <row r="11" spans="1:5" x14ac:dyDescent="0.3">
      <c r="A11" s="22" t="s">
        <v>323</v>
      </c>
      <c r="B11" s="27">
        <v>68</v>
      </c>
      <c r="C11" s="23"/>
      <c r="D11" s="23"/>
      <c r="E11" s="23"/>
    </row>
    <row r="13" spans="1:5" x14ac:dyDescent="0.3">
      <c r="A13" s="44" t="s">
        <v>324</v>
      </c>
      <c r="B13" s="44"/>
      <c r="C13" s="44"/>
      <c r="D13" s="33" t="str">
        <f>VLOOKUP(B11,A4:B8,2,TRUE())</f>
        <v>C</v>
      </c>
      <c r="E13" s="23"/>
    </row>
    <row r="14" spans="1:5" x14ac:dyDescent="0.3">
      <c r="A14" s="45" t="s">
        <v>325</v>
      </c>
      <c r="B14" s="45"/>
      <c r="C14" s="45"/>
      <c r="D14" s="32" t="e">
        <f>VLOOKUP(B11,A4:B8,2,FALSE())</f>
        <v>#N/A</v>
      </c>
      <c r="E14" s="23"/>
    </row>
  </sheetData>
  <mergeCells count="3">
    <mergeCell ref="A1:E1"/>
    <mergeCell ref="A13:C13"/>
    <mergeCell ref="A14:C1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E7CB3-12AA-48DE-8792-2FF8E2CC9586}">
  <dimension ref="A1:E12"/>
  <sheetViews>
    <sheetView workbookViewId="0">
      <selection activeCell="C13" sqref="C13"/>
    </sheetView>
  </sheetViews>
  <sheetFormatPr defaultRowHeight="14.4" x14ac:dyDescent="0.3"/>
  <cols>
    <col min="1" max="1" width="22.88671875" customWidth="1"/>
    <col min="2" max="2" width="26" customWidth="1"/>
  </cols>
  <sheetData>
    <row r="1" spans="1:5" ht="17.399999999999999" x14ac:dyDescent="0.3">
      <c r="A1" s="40" t="s">
        <v>326</v>
      </c>
      <c r="B1" s="40"/>
      <c r="C1" s="40"/>
      <c r="D1" s="40"/>
      <c r="E1" s="40"/>
    </row>
    <row r="3" spans="1:5" x14ac:dyDescent="0.3">
      <c r="A3" s="18" t="s">
        <v>47</v>
      </c>
      <c r="B3" s="18" t="s">
        <v>46</v>
      </c>
      <c r="C3" s="23"/>
      <c r="D3" s="23"/>
      <c r="E3" s="23"/>
    </row>
    <row r="4" spans="1:5" x14ac:dyDescent="0.3">
      <c r="A4" s="19" t="s">
        <v>62</v>
      </c>
      <c r="B4" s="19" t="s">
        <v>50</v>
      </c>
      <c r="C4" s="23"/>
      <c r="D4" s="23"/>
      <c r="E4" s="23"/>
    </row>
    <row r="5" spans="1:5" x14ac:dyDescent="0.3">
      <c r="A5" s="19" t="s">
        <v>60</v>
      </c>
      <c r="B5" s="19" t="s">
        <v>51</v>
      </c>
      <c r="C5" s="23"/>
      <c r="D5" s="23"/>
      <c r="E5" s="23"/>
    </row>
    <row r="6" spans="1:5" x14ac:dyDescent="0.3">
      <c r="A6" s="19" t="s">
        <v>61</v>
      </c>
      <c r="B6" s="19" t="s">
        <v>105</v>
      </c>
      <c r="C6" s="23"/>
      <c r="D6" s="23"/>
      <c r="E6" s="23"/>
    </row>
    <row r="7" spans="1:5" x14ac:dyDescent="0.3">
      <c r="A7" s="19" t="s">
        <v>60</v>
      </c>
      <c r="B7" s="19" t="s">
        <v>106</v>
      </c>
      <c r="C7" s="23"/>
      <c r="D7" s="23"/>
      <c r="E7" s="23"/>
    </row>
    <row r="8" spans="1:5" x14ac:dyDescent="0.3">
      <c r="A8" s="19" t="s">
        <v>62</v>
      </c>
      <c r="B8" s="19" t="s">
        <v>54</v>
      </c>
      <c r="C8" s="23"/>
      <c r="D8" s="23"/>
      <c r="E8" s="23"/>
    </row>
    <row r="9" spans="1:5" x14ac:dyDescent="0.3">
      <c r="A9" s="19" t="s">
        <v>60</v>
      </c>
      <c r="B9" s="19" t="s">
        <v>55</v>
      </c>
      <c r="C9" s="23"/>
      <c r="D9" s="23"/>
      <c r="E9" s="23"/>
    </row>
    <row r="12" spans="1:5" x14ac:dyDescent="0.3">
      <c r="A12" s="22" t="s">
        <v>327</v>
      </c>
      <c r="B12" s="23"/>
      <c r="C12" s="34" t="str">
        <f>VLOOKUP("it",A4:B9,2,FALSE())</f>
        <v>Bhavna</v>
      </c>
      <c r="D12" s="23"/>
      <c r="E12" s="23"/>
    </row>
  </sheetData>
  <mergeCells count="1">
    <mergeCell ref="A1:E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C2435-C18C-4D96-B15B-8E02EAF19D7B}">
  <dimension ref="A1:G20"/>
  <sheetViews>
    <sheetView tabSelected="1" topLeftCell="A19" workbookViewId="0">
      <selection activeCell="C21" sqref="C21"/>
    </sheetView>
  </sheetViews>
  <sheetFormatPr defaultRowHeight="14.4" x14ac:dyDescent="0.3"/>
  <cols>
    <col min="1" max="1" width="15.44140625" customWidth="1"/>
    <col min="2" max="2" width="15.5546875" customWidth="1"/>
    <col min="3" max="3" width="17.21875" customWidth="1"/>
    <col min="4" max="4" width="15.6640625" customWidth="1"/>
    <col min="7" max="7" width="8.6640625" customWidth="1"/>
  </cols>
  <sheetData>
    <row r="1" spans="1:7" ht="17.399999999999999" x14ac:dyDescent="0.3">
      <c r="A1" s="20" t="s">
        <v>328</v>
      </c>
      <c r="B1" s="20"/>
      <c r="C1" s="20"/>
      <c r="D1" s="20"/>
      <c r="E1" s="20"/>
      <c r="F1" s="20"/>
      <c r="G1" s="20"/>
    </row>
    <row r="3" spans="1:7" x14ac:dyDescent="0.3">
      <c r="A3" s="35" t="s">
        <v>329</v>
      </c>
      <c r="B3" s="23"/>
      <c r="C3" s="23"/>
      <c r="D3" s="23"/>
      <c r="E3" s="23"/>
      <c r="F3" s="23"/>
      <c r="G3" s="23"/>
    </row>
    <row r="4" spans="1:7" ht="27.6" x14ac:dyDescent="0.3">
      <c r="A4" s="18" t="s">
        <v>295</v>
      </c>
      <c r="B4" s="18" t="s">
        <v>246</v>
      </c>
      <c r="C4" s="18" t="s">
        <v>294</v>
      </c>
      <c r="D4" s="18" t="s">
        <v>236</v>
      </c>
      <c r="E4" s="23"/>
      <c r="F4" s="23"/>
      <c r="G4" s="23"/>
    </row>
    <row r="5" spans="1:7" x14ac:dyDescent="0.3">
      <c r="A5" s="19" t="s">
        <v>297</v>
      </c>
      <c r="B5" s="19" t="s">
        <v>34</v>
      </c>
      <c r="C5" s="19" t="s">
        <v>296</v>
      </c>
      <c r="D5" s="19">
        <v>40</v>
      </c>
      <c r="E5" s="23"/>
      <c r="F5" s="23"/>
      <c r="G5" s="23"/>
    </row>
    <row r="6" spans="1:7" x14ac:dyDescent="0.3">
      <c r="A6" s="19" t="s">
        <v>298</v>
      </c>
      <c r="B6" s="19" t="s">
        <v>118</v>
      </c>
      <c r="C6" s="19" t="s">
        <v>296</v>
      </c>
      <c r="D6" s="19">
        <v>10</v>
      </c>
      <c r="E6" s="23"/>
      <c r="F6" s="23"/>
      <c r="G6" s="23"/>
    </row>
    <row r="7" spans="1:7" x14ac:dyDescent="0.3">
      <c r="A7" s="19" t="s">
        <v>300</v>
      </c>
      <c r="B7" s="19" t="s">
        <v>119</v>
      </c>
      <c r="C7" s="19" t="s">
        <v>299</v>
      </c>
      <c r="D7" s="19">
        <v>750</v>
      </c>
      <c r="E7" s="23"/>
      <c r="F7" s="23"/>
      <c r="G7" s="23"/>
    </row>
    <row r="8" spans="1:7" x14ac:dyDescent="0.3">
      <c r="A8" s="19" t="s">
        <v>301</v>
      </c>
      <c r="B8" s="19" t="s">
        <v>244</v>
      </c>
      <c r="C8" s="19" t="s">
        <v>299</v>
      </c>
      <c r="D8" s="19">
        <v>150</v>
      </c>
      <c r="E8" s="23"/>
      <c r="F8" s="23"/>
      <c r="G8" s="23"/>
    </row>
    <row r="9" spans="1:7" x14ac:dyDescent="0.3">
      <c r="A9" s="19" t="s">
        <v>303</v>
      </c>
      <c r="B9" s="19" t="s">
        <v>120</v>
      </c>
      <c r="C9" s="19" t="s">
        <v>302</v>
      </c>
      <c r="D9" s="19">
        <v>450</v>
      </c>
      <c r="E9" s="23"/>
      <c r="F9" s="23"/>
      <c r="G9" s="23"/>
    </row>
    <row r="12" spans="1:7" x14ac:dyDescent="0.3">
      <c r="A12" s="37" t="s">
        <v>330</v>
      </c>
      <c r="B12" s="37"/>
      <c r="C12" s="37"/>
      <c r="D12" s="37"/>
      <c r="E12" s="37"/>
      <c r="F12" s="23"/>
      <c r="G12" s="23"/>
    </row>
    <row r="13" spans="1:7" ht="69" x14ac:dyDescent="0.3">
      <c r="A13" s="18" t="s">
        <v>331</v>
      </c>
      <c r="B13" s="18" t="s">
        <v>332</v>
      </c>
      <c r="C13" s="18" t="s">
        <v>333</v>
      </c>
      <c r="D13" s="18" t="s">
        <v>334</v>
      </c>
      <c r="E13" s="23"/>
      <c r="F13" s="23"/>
      <c r="G13" s="23"/>
    </row>
    <row r="14" spans="1:7" x14ac:dyDescent="0.3">
      <c r="A14" s="36" t="s">
        <v>300</v>
      </c>
      <c r="B14" s="26" t="str">
        <f>VLOOKUP(A14,A5:D9,2,FALSE())</f>
        <v>Backpack</v>
      </c>
      <c r="C14" s="26">
        <f>VLOOKUP(A14,A5:D9,4,FALSE())</f>
        <v>750</v>
      </c>
      <c r="D14" s="26" t="str">
        <f>INDEX(C5:C9,MATCH(A14,A5:A9,0))</f>
        <v>Accessories</v>
      </c>
      <c r="E14" s="23"/>
      <c r="F14" s="23"/>
      <c r="G14" s="23"/>
    </row>
    <row r="16" spans="1:7" x14ac:dyDescent="0.3">
      <c r="A16" s="37" t="s">
        <v>335</v>
      </c>
      <c r="B16" s="37"/>
      <c r="C16" s="37"/>
      <c r="D16" s="37"/>
      <c r="E16" s="37"/>
      <c r="F16" s="37"/>
    </row>
    <row r="17" spans="1:6" x14ac:dyDescent="0.3">
      <c r="A17" s="18" t="s">
        <v>336</v>
      </c>
      <c r="B17" s="18" t="s">
        <v>337</v>
      </c>
      <c r="C17" s="18" t="s">
        <v>338</v>
      </c>
      <c r="D17" s="18" t="s">
        <v>339</v>
      </c>
      <c r="E17" s="18" t="s">
        <v>340</v>
      </c>
      <c r="F17" s="23"/>
    </row>
    <row r="18" spans="1:6" x14ac:dyDescent="0.3">
      <c r="A18" s="19" t="s">
        <v>341</v>
      </c>
      <c r="B18" s="19">
        <v>40000</v>
      </c>
      <c r="C18" s="19">
        <v>55000</v>
      </c>
      <c r="D18" s="19">
        <v>47000</v>
      </c>
      <c r="E18" s="19">
        <v>62000</v>
      </c>
      <c r="F18" s="23"/>
    </row>
    <row r="20" spans="1:6" x14ac:dyDescent="0.3">
      <c r="A20" s="19" t="s">
        <v>342</v>
      </c>
      <c r="B20" s="36" t="s">
        <v>339</v>
      </c>
      <c r="C20" s="9">
        <f>HLOOKUP(B20,A17:E18,2,FALSE())</f>
        <v>47000</v>
      </c>
    </row>
  </sheetData>
  <mergeCells count="2">
    <mergeCell ref="A12:E12"/>
    <mergeCell ref="A16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1- Basics </vt:lpstr>
      <vt:lpstr>2- Formulas</vt:lpstr>
      <vt:lpstr>3- Cell References</vt:lpstr>
      <vt:lpstr>4 -CountAndIF </vt:lpstr>
      <vt:lpstr>5- SortAndFilter</vt:lpstr>
      <vt:lpstr>6- Logical</vt:lpstr>
      <vt:lpstr>7- text function</vt:lpstr>
      <vt:lpstr>8- Dates</vt:lpstr>
      <vt:lpstr>9- C0NDITIONAL FORMULAS</vt:lpstr>
      <vt:lpstr>10- Formatting Valuation</vt:lpstr>
      <vt:lpstr>11- Freeze Split</vt:lpstr>
      <vt:lpstr>12- Basic VLOOKUP</vt:lpstr>
      <vt:lpstr>13a- pricelist(sourcedata)</vt:lpstr>
      <vt:lpstr>14- IFERROR- Wrapper </vt:lpstr>
      <vt:lpstr>15- TwoWayLookup</vt:lpstr>
      <vt:lpstr>16- MultipleCriteria</vt:lpstr>
      <vt:lpstr>17-DyanamicColumnPick</vt:lpstr>
      <vt:lpstr>18-wildcardSearch</vt:lpstr>
      <vt:lpstr>19-CannotLookLeft</vt:lpstr>
      <vt:lpstr>20-BreaksOnColumnlnsert</vt:lpstr>
      <vt:lpstr>21-exactvs approxmatch</vt:lpstr>
      <vt:lpstr>22-duplicatesissue</vt:lpstr>
      <vt:lpstr>23-lookup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nandani singh</dc:creator>
  <cp:lastModifiedBy>nandani singh</cp:lastModifiedBy>
  <dcterms:created xsi:type="dcterms:W3CDTF">2026-07-13T17:39:50Z</dcterms:created>
  <dcterms:modified xsi:type="dcterms:W3CDTF">2026-07-14T10:06:20Z</dcterms:modified>
</cp:coreProperties>
</file>